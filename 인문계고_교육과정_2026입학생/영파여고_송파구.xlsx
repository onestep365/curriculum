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088C8C08-1307-44F7-8D6C-99E427D23E3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2026입학생" sheetId="1" r:id="rId1"/>
  </sheets>
  <externalReferences>
    <externalReference r:id="rId2"/>
    <externalReference r:id="rId3"/>
  </externalReferences>
  <definedNames>
    <definedName name="_xlnm.Print_Area" localSheetId="0">'2026입학생'!$A$1:$P$125</definedName>
    <definedName name="_xlnm.Print_Titles" localSheetId="0">'2026입학생'!$3:$5</definedName>
    <definedName name="공통">#REF!</definedName>
    <definedName name="과목개설유형" localSheetId="0">[2]데이터베이스!$K$14:$K$16</definedName>
    <definedName name="과목개설유형">[1]데이터베이스!$K$14:$K$16</definedName>
    <definedName name="과목유형" localSheetId="0">[2]데이터베이스!$D$2:$D$5</definedName>
    <definedName name="과목유형">#REF!</definedName>
    <definedName name="과목유형2" localSheetId="0">[2]데이터베이스!$D$3:$D$5</definedName>
    <definedName name="과목유형2">[1]데이터베이스!$D$3:$D$5</definedName>
    <definedName name="교과군" localSheetId="0">[2]데이터베이스!$A$2:$A$11</definedName>
    <definedName name="교과군">[1]데이터베이스!$A$2:$A$11</definedName>
    <definedName name="기본학점" localSheetId="0">[2]데이터베이스!$D$13:$E$168</definedName>
    <definedName name="기본학점">[1]데이터베이스!$D$13:$E$168</definedName>
    <definedName name="비고" localSheetId="0">[2]데이터베이스!$J$14:$J$21</definedName>
    <definedName name="비고">#REF!</definedName>
    <definedName name="일반">#REF!</definedName>
    <definedName name="진로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1" l="1"/>
  <c r="K114" i="1"/>
  <c r="K116" i="1" s="1"/>
  <c r="J114" i="1"/>
  <c r="I114" i="1"/>
  <c r="I116" i="1" s="1"/>
  <c r="H114" i="1"/>
  <c r="O113" i="1"/>
  <c r="P112" i="1"/>
  <c r="H112" i="1"/>
  <c r="G112" i="1"/>
  <c r="G114" i="1" s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O40" i="1"/>
  <c r="E40" i="1"/>
  <c r="E39" i="1"/>
  <c r="E38" i="1"/>
  <c r="E37" i="1"/>
  <c r="O36" i="1"/>
  <c r="E36" i="1"/>
  <c r="E35" i="1"/>
  <c r="E34" i="1"/>
  <c r="E33" i="1"/>
  <c r="E32" i="1"/>
  <c r="E31" i="1"/>
  <c r="O30" i="1"/>
  <c r="E30" i="1"/>
  <c r="E29" i="1"/>
  <c r="E28" i="1"/>
  <c r="E27" i="1"/>
  <c r="O26" i="1"/>
  <c r="E26" i="1"/>
  <c r="E25" i="1"/>
  <c r="O24" i="1"/>
  <c r="E24" i="1"/>
  <c r="E23" i="1"/>
  <c r="O22" i="1"/>
  <c r="E22" i="1"/>
  <c r="E21" i="1"/>
  <c r="E20" i="1"/>
  <c r="E19" i="1"/>
  <c r="E18" i="1"/>
  <c r="O17" i="1"/>
  <c r="E17" i="1"/>
  <c r="E16" i="1"/>
  <c r="E15" i="1"/>
  <c r="E14" i="1"/>
  <c r="E13" i="1"/>
  <c r="O12" i="1"/>
  <c r="E12" i="1"/>
  <c r="E11" i="1"/>
  <c r="E10" i="1"/>
  <c r="E9" i="1"/>
  <c r="E8" i="1"/>
  <c r="O7" i="1"/>
  <c r="E7" i="1"/>
  <c r="G116" i="1" l="1"/>
  <c r="O116" i="1" s="1"/>
  <c r="O114" i="1"/>
  <c r="O1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sz val="11"/>
            <rFont val="돋움"/>
            <family val="3"/>
            <charset val="129"/>
          </rPr>
          <t xml:space="preserve">Administrator:
수식이 입력되어 있음. 지워진 경우 아래 수식을 활용
=IFERROR(VLOOKUP(D7, 기본학점, 2, FALSE), "")
</t>
        </r>
      </text>
    </comment>
    <comment ref="I42" authorId="0" shapeId="0" xr:uid="{00000000-0006-0000-0000-000002000000}">
      <text>
        <r>
          <rPr>
            <sz val="11"/>
            <rFont val="돋움"/>
            <family val="3"/>
            <charset val="129"/>
          </rPr>
          <t>Administrator:
☆
(택○) 
형식으로 입력
(예시)
15
(택5)</t>
        </r>
      </text>
    </comment>
  </commentList>
</comments>
</file>

<file path=xl/sharedStrings.xml><?xml version="1.0" encoding="utf-8"?>
<sst xmlns="http://schemas.openxmlformats.org/spreadsheetml/2006/main" count="284" uniqueCount="148">
  <si>
    <t>영파여자고등학교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</si>
  <si>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</si>
  <si>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</si>
  <si>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</si>
  <si>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</si>
  <si>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</si>
  <si>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</si>
  <si>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</si>
  <si>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</si>
  <si>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</si>
  <si>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</si>
  <si>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</si>
  <si>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</si>
  <si>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</si>
  <si>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</si>
  <si>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</si>
  <si>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</si>
  <si>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</si>
  <si>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</si>
  <si>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</si>
  <si>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</si>
  <si>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</si>
  <si>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</si>
  <si>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</si>
  <si>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독서와 작문 </t>
  </si>
  <si>
    <t xml:space="preserve">화법과 언어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</si>
  <si>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</si>
  <si>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</si>
  <si>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</si>
  <si>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</si>
  <si>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</si>
  <si>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</si>
  <si>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</si>
  <si>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</si>
  <si>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</si>
  <si>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</si>
  <si>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</si>
  <si>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</si>
  <si>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</si>
  <si>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</si>
  <si>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</si>
  <si>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</si>
  <si>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</si>
  <si>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</si>
  <si>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</si>
  <si>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</si>
  <si>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</si>
  <si>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</si>
  <si>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</si>
  <si>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</si>
  <si>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</si>
  <si>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</si>
  <si>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 xml:space="preserve">스포츠 생활1 </t>
  </si>
  <si>
    <t xml:space="preserve">스포츠 생활2 </t>
  </si>
  <si>
    <t>진로</t>
  </si>
  <si>
    <t>스포츠 문화</t>
  </si>
  <si>
    <t>스포츠 과학</t>
  </si>
  <si>
    <t>예 술</t>
  </si>
  <si>
    <t>음악</t>
  </si>
  <si>
    <t>[3]</t>
  </si>
  <si>
    <t>미술</t>
  </si>
  <si>
    <t>음악과 미디어</t>
  </si>
  <si>
    <t>[2]</t>
  </si>
  <si>
    <t>미술과 매체</t>
  </si>
  <si>
    <t>교 양</t>
  </si>
  <si>
    <t>논술</t>
  </si>
  <si>
    <t xml:space="preserve">진로와 직업 </t>
  </si>
  <si>
    <t xml:space="preserve">2
학년선택 </t>
  </si>
  <si>
    <t>독서 토론과 글쓰기</t>
  </si>
  <si>
    <t>15
(택5)</t>
  </si>
  <si>
    <t>기하</t>
  </si>
  <si>
    <t>영미 문학 읽기</t>
  </si>
  <si>
    <t>세계시민과 지리</t>
  </si>
  <si>
    <t>세계사</t>
  </si>
  <si>
    <t>현대사회와 윤리</t>
  </si>
  <si>
    <t>정치</t>
  </si>
  <si>
    <t xml:space="preserve">법과 사회 </t>
  </si>
  <si>
    <t>물리학</t>
  </si>
  <si>
    <t>화학</t>
  </si>
  <si>
    <t xml:space="preserve">생명과학 </t>
  </si>
  <si>
    <t>음악 감상과 비평</t>
  </si>
  <si>
    <t>미술 감상과 비평</t>
  </si>
  <si>
    <t>기술∙가정/정보</t>
  </si>
  <si>
    <t>정보</t>
  </si>
  <si>
    <t>제2외국어/한문</t>
  </si>
  <si>
    <t>중국어</t>
  </si>
  <si>
    <t xml:space="preserve">일본어 </t>
  </si>
  <si>
    <t>한문</t>
  </si>
  <si>
    <t>문학과 영상</t>
  </si>
  <si>
    <t>인공지능 수학</t>
  </si>
  <si>
    <t>영어 발표와 토론</t>
  </si>
  <si>
    <t>한국지리 탐구</t>
  </si>
  <si>
    <t xml:space="preserve">도시의 미래 탐구 </t>
  </si>
  <si>
    <t>동아시아 역사 기행</t>
  </si>
  <si>
    <t xml:space="preserve">윤리와 사상 </t>
  </si>
  <si>
    <t>사회와 문화</t>
  </si>
  <si>
    <t>경제</t>
  </si>
  <si>
    <t xml:space="preserve">역학과 에너지 </t>
  </si>
  <si>
    <t>화학 반응의 세계</t>
  </si>
  <si>
    <t xml:space="preserve">세포와 물질대사 </t>
  </si>
  <si>
    <t>지구과학</t>
  </si>
  <si>
    <t>음악 연주와 창작</t>
  </si>
  <si>
    <t xml:space="preserve">미술 창작 </t>
  </si>
  <si>
    <t xml:space="preserve">인공지능 기초 </t>
  </si>
  <si>
    <t xml:space="preserve">중국어 회화 </t>
  </si>
  <si>
    <t>일본어 회화</t>
  </si>
  <si>
    <t>한문 고전 읽기</t>
  </si>
  <si>
    <t xml:space="preserve">3
학년선택 </t>
  </si>
  <si>
    <t xml:space="preserve">주제 탐구 독서 </t>
  </si>
  <si>
    <t>미적분Ⅱ</t>
  </si>
  <si>
    <t>경제 수학</t>
  </si>
  <si>
    <t xml:space="preserve">심화 영어 </t>
  </si>
  <si>
    <t>여행지리</t>
  </si>
  <si>
    <t>역사로 탐구하는 현대 세계</t>
  </si>
  <si>
    <t>인문학과 윤리</t>
  </si>
  <si>
    <t>사회문제 탐구</t>
  </si>
  <si>
    <t>전자기와 양자</t>
  </si>
  <si>
    <t xml:space="preserve">물질과 에너지 </t>
  </si>
  <si>
    <t>생물의 유전</t>
  </si>
  <si>
    <t xml:space="preserve">지구시스템과학 </t>
  </si>
  <si>
    <t>데이터 과학</t>
  </si>
  <si>
    <t xml:space="preserve">중국 문화 </t>
  </si>
  <si>
    <t>일본 문화</t>
  </si>
  <si>
    <t>언어생활과 한자</t>
  </si>
  <si>
    <t>보건</t>
  </si>
  <si>
    <t>인간과 심리</t>
  </si>
  <si>
    <t>언어생활 탐구</t>
  </si>
  <si>
    <t>24
(택8)</t>
  </si>
  <si>
    <t>실용 통계</t>
  </si>
  <si>
    <t>수학과제 탐구</t>
  </si>
  <si>
    <t xml:space="preserve">심화 영어 독해와 작문 </t>
  </si>
  <si>
    <t>세계 문화와 영어</t>
  </si>
  <si>
    <t>윤리문제 탐구</t>
  </si>
  <si>
    <t>국제 관계의 이해</t>
  </si>
  <si>
    <t>금융과 경제생활</t>
  </si>
  <si>
    <t>기후변화와 지속가능한 세계</t>
  </si>
  <si>
    <t>융합과학 탐구</t>
  </si>
  <si>
    <t>과학의 역사와 문화</t>
  </si>
  <si>
    <t>기후변화와 환경생태</t>
  </si>
  <si>
    <t>행성우주과학</t>
  </si>
  <si>
    <t>인간과 철학</t>
  </si>
  <si>
    <t xml:space="preserve">교육의 이해 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</si>
  <si>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</si>
  <si>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</si>
  <si>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</si>
  <si>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</si>
  <si>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</si>
  <si>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>※ 유의사항
- 2,3학년 선택 과목 중 기초 교과(국어, 수학, 영어) 과목을 최대 8과목(24학점)까지 선택할 수 있음.
- 2,3학년 재학 중 기술·가정/정보, 제2외국어/한문, 교양 교과(군) 선택과목에서 4개 과목(12학점)이상 선택하여 이수해야 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</si>
</sst>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22" xfId="0" applyBorder="1"/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82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85" xfId="0" applyFont="1" applyFill="1" applyBorder="1" applyAlignment="1">
      <alignment horizontal="center" vertical="center" wrapText="1"/>
    </xf>
    <xf numFmtId="0" fontId="11" fillId="4" borderId="86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 wrapText="1"/>
    </xf>
    <xf numFmtId="49" fontId="2" fillId="0" borderId="69" xfId="0" applyNumberFormat="1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shrinkToFi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7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shrinkToFit="1"/>
    </xf>
    <xf numFmtId="49" fontId="2" fillId="0" borderId="48" xfId="0" applyNumberFormat="1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shrinkToFi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shrinkToFit="1"/>
    </xf>
    <xf numFmtId="49" fontId="2" fillId="0" borderId="53" xfId="0" applyNumberFormat="1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2" fillId="0" borderId="42" xfId="0" quotePrefix="1" applyFont="1" applyBorder="1" applyAlignment="1">
      <alignment horizontal="center" vertical="center" wrapText="1"/>
    </xf>
    <xf numFmtId="0" fontId="2" fillId="0" borderId="53" xfId="0" quotePrefix="1" applyFont="1" applyBorder="1" applyAlignment="1">
      <alignment horizontal="center" vertical="center" wrapText="1"/>
    </xf>
    <xf numFmtId="0" fontId="2" fillId="0" borderId="49" xfId="0" quotePrefix="1" applyFont="1" applyBorder="1" applyAlignment="1">
      <alignment horizontal="center" vertical="center" wrapText="1"/>
    </xf>
    <xf numFmtId="0" fontId="2" fillId="0" borderId="48" xfId="0" quotePrefix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49" fontId="9" fillId="0" borderId="55" xfId="0" applyNumberFormat="1" applyFont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0" borderId="91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49" fontId="9" fillId="0" borderId="55" xfId="0" applyNumberFormat="1" applyFont="1" applyBorder="1" applyAlignment="1">
      <alignment horizontal="center" vertical="center" shrinkToFit="1"/>
    </xf>
    <xf numFmtId="49" fontId="2" fillId="0" borderId="55" xfId="0" applyNumberFormat="1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0" borderId="9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shrinkToFi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0" xfId="0" quotePrefix="1" applyFont="1" applyFill="1" applyBorder="1" applyAlignment="1">
      <alignment horizontal="center" vertical="center" wrapText="1"/>
    </xf>
    <xf numFmtId="0" fontId="9" fillId="2" borderId="92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49" fontId="9" fillId="0" borderId="31" xfId="0" applyNumberFormat="1" applyFont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2" xfId="0" quotePrefix="1" applyFont="1" applyFill="1" applyBorder="1" applyAlignment="1">
      <alignment horizontal="center" vertical="center" wrapText="1"/>
    </xf>
    <xf numFmtId="0" fontId="9" fillId="2" borderId="93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49" fontId="9" fillId="0" borderId="31" xfId="0" applyNumberFormat="1" applyFont="1" applyBorder="1" applyAlignment="1">
      <alignment horizontal="center" vertical="center" shrinkToFit="1"/>
    </xf>
    <xf numFmtId="49" fontId="9" fillId="0" borderId="37" xfId="0" applyNumberFormat="1" applyFont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38" xfId="0" quotePrefix="1" applyFont="1" applyFill="1" applyBorder="1" applyAlignment="1">
      <alignment horizontal="center" vertical="center" wrapText="1"/>
    </xf>
    <xf numFmtId="0" fontId="7" fillId="2" borderId="9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49" fontId="2" fillId="0" borderId="37" xfId="0" applyNumberFormat="1" applyFont="1" applyBorder="1" applyAlignment="1">
      <alignment horizontal="center" vertical="center" shrinkToFit="1"/>
    </xf>
    <xf numFmtId="49" fontId="2" fillId="0" borderId="37" xfId="0" applyNumberFormat="1" applyFont="1" applyBorder="1" applyAlignment="1">
      <alignment horizontal="center" vertical="center" wrapText="1"/>
    </xf>
    <xf numFmtId="0" fontId="9" fillId="0" borderId="95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0" xfId="0" quotePrefix="1" applyFont="1" applyBorder="1" applyAlignment="1">
      <alignment horizontal="center" vertical="center" wrapText="1"/>
    </xf>
    <xf numFmtId="0" fontId="9" fillId="0" borderId="96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2" xfId="0" quotePrefix="1" applyFont="1" applyBorder="1" applyAlignment="1">
      <alignment horizontal="center" vertical="center" wrapText="1"/>
    </xf>
    <xf numFmtId="0" fontId="9" fillId="2" borderId="41" xfId="0" quotePrefix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2" borderId="33" xfId="0" quotePrefix="1" applyFont="1" applyFill="1" applyBorder="1" applyAlignment="1">
      <alignment horizontal="center" vertical="center" wrapText="1"/>
    </xf>
    <xf numFmtId="0" fontId="9" fillId="0" borderId="93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49" fontId="2" fillId="0" borderId="62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shrinkToFit="1"/>
    </xf>
    <xf numFmtId="0" fontId="2" fillId="2" borderId="97" xfId="0" applyFont="1" applyFill="1" applyBorder="1" applyAlignment="1">
      <alignment horizontal="center" vertical="center" wrapText="1"/>
    </xf>
    <xf numFmtId="0" fontId="9" fillId="2" borderId="69" xfId="0" applyFont="1" applyFill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2" xfId="0" quotePrefix="1" applyFont="1" applyBorder="1" applyAlignment="1">
      <alignment horizontal="center" vertical="center" wrapText="1"/>
    </xf>
    <xf numFmtId="0" fontId="9" fillId="0" borderId="53" xfId="0" quotePrefix="1" applyFont="1" applyBorder="1" applyAlignment="1">
      <alignment horizontal="center" vertical="center" wrapText="1"/>
    </xf>
    <xf numFmtId="0" fontId="9" fillId="0" borderId="49" xfId="0" quotePrefix="1" applyFont="1" applyBorder="1" applyAlignment="1">
      <alignment horizontal="center" vertical="center" wrapText="1"/>
    </xf>
    <xf numFmtId="0" fontId="9" fillId="0" borderId="48" xfId="0" quotePrefix="1" applyFont="1" applyBorder="1" applyAlignment="1">
      <alignment horizontal="center" vertical="center" wrapText="1"/>
    </xf>
    <xf numFmtId="49" fontId="9" fillId="0" borderId="29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39" xfId="0" quotePrefix="1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9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0" fillId="0" borderId="65" xfId="0" applyBorder="1"/>
    <xf numFmtId="0" fontId="7" fillId="0" borderId="59" xfId="0" applyFont="1" applyBorder="1" applyAlignment="1">
      <alignment horizontal="center" vertical="center" wrapText="1"/>
    </xf>
    <xf numFmtId="0" fontId="0" fillId="0" borderId="34" xfId="0" applyBorder="1"/>
    <xf numFmtId="0" fontId="2" fillId="0" borderId="19" xfId="0" applyFont="1" applyBorder="1" applyAlignment="1">
      <alignment horizontal="center" vertical="center" wrapText="1"/>
    </xf>
    <xf numFmtId="0" fontId="0" fillId="0" borderId="19" xfId="0" applyBorder="1"/>
    <xf numFmtId="0" fontId="2" fillId="0" borderId="15" xfId="0" applyFont="1" applyBorder="1" applyAlignment="1">
      <alignment horizontal="center" vertical="center" wrapText="1"/>
    </xf>
    <xf numFmtId="0" fontId="4" fillId="4" borderId="104" xfId="0" applyFont="1" applyFill="1" applyBorder="1" applyAlignment="1">
      <alignment horizontal="center" vertical="center" wrapText="1"/>
    </xf>
    <xf numFmtId="0" fontId="0" fillId="0" borderId="25" xfId="0" applyBorder="1"/>
    <xf numFmtId="0" fontId="4" fillId="4" borderId="86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" xfId="0" applyBorder="1"/>
    <xf numFmtId="0" fontId="9" fillId="5" borderId="67" xfId="0" applyFont="1" applyFill="1" applyBorder="1" applyAlignment="1">
      <alignment horizontal="center" vertical="center" wrapText="1"/>
    </xf>
    <xf numFmtId="0" fontId="0" fillId="0" borderId="16" xfId="0" applyBorder="1"/>
    <xf numFmtId="0" fontId="9" fillId="0" borderId="71" xfId="0" applyFont="1" applyBorder="1" applyAlignment="1">
      <alignment horizontal="center" vertical="center" wrapText="1"/>
    </xf>
    <xf numFmtId="0" fontId="0" fillId="0" borderId="82" xfId="0" applyBorder="1"/>
    <xf numFmtId="0" fontId="0" fillId="0" borderId="81" xfId="0" applyBorder="1"/>
    <xf numFmtId="0" fontId="9" fillId="2" borderId="56" xfId="0" applyFont="1" applyFill="1" applyBorder="1" applyAlignment="1">
      <alignment horizontal="center" vertical="center" wrapText="1"/>
    </xf>
    <xf numFmtId="0" fontId="0" fillId="0" borderId="21" xfId="0" applyBorder="1"/>
    <xf numFmtId="0" fontId="9" fillId="0" borderId="109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0" fillId="0" borderId="23" xfId="0" applyBorder="1"/>
    <xf numFmtId="0" fontId="0" fillId="0" borderId="13" xfId="0" applyBorder="1"/>
    <xf numFmtId="0" fontId="0" fillId="0" borderId="9" xfId="0" applyBorder="1"/>
    <xf numFmtId="0" fontId="9" fillId="0" borderId="64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0" fillId="0" borderId="20" xfId="0" applyBorder="1"/>
    <xf numFmtId="0" fontId="9" fillId="0" borderId="86" xfId="0" applyFont="1" applyBorder="1" applyAlignment="1">
      <alignment horizontal="center" vertical="center" wrapText="1"/>
    </xf>
    <xf numFmtId="0" fontId="9" fillId="0" borderId="85" xfId="0" applyFont="1" applyBorder="1" applyAlignment="1">
      <alignment horizontal="center" vertical="center" wrapText="1"/>
    </xf>
    <xf numFmtId="0" fontId="0" fillId="0" borderId="102" xfId="0" applyBorder="1"/>
    <xf numFmtId="0" fontId="7" fillId="4" borderId="103" xfId="0" applyFont="1" applyFill="1" applyBorder="1" applyAlignment="1">
      <alignment horizontal="left" vertical="top" wrapText="1"/>
    </xf>
    <xf numFmtId="0" fontId="0" fillId="0" borderId="24" xfId="0" applyBorder="1"/>
    <xf numFmtId="0" fontId="0" fillId="0" borderId="76" xfId="0" applyBorder="1"/>
    <xf numFmtId="0" fontId="0" fillId="0" borderId="22" xfId="0" applyBorder="1"/>
    <xf numFmtId="0" fontId="0" fillId="0" borderId="0" xfId="0" applyAlignment="1">
      <alignment horizontal="center" vertical="center"/>
    </xf>
    <xf numFmtId="0" fontId="0" fillId="0" borderId="77" xfId="0" applyBorder="1"/>
    <xf numFmtId="0" fontId="0" fillId="0" borderId="6" xfId="0" applyBorder="1"/>
    <xf numFmtId="0" fontId="0" fillId="0" borderId="5" xfId="0" applyBorder="1"/>
    <xf numFmtId="0" fontId="0" fillId="0" borderId="1" xfId="0" applyBorder="1"/>
    <xf numFmtId="0" fontId="5" fillId="0" borderId="5" xfId="0" applyFont="1" applyBorder="1" applyAlignment="1">
      <alignment horizontal="left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0" fillId="0" borderId="63" xfId="0" applyBorder="1"/>
    <xf numFmtId="0" fontId="4" fillId="0" borderId="5" xfId="0" applyFont="1" applyBorder="1" applyAlignment="1">
      <alignment horizontal="center" vertical="center" wrapText="1"/>
    </xf>
    <xf numFmtId="0" fontId="4" fillId="4" borderId="108" xfId="0" applyFont="1" applyFill="1" applyBorder="1" applyAlignment="1">
      <alignment horizontal="center" vertical="center" wrapText="1"/>
    </xf>
    <xf numFmtId="0" fontId="0" fillId="0" borderId="84" xfId="0" applyBorder="1"/>
    <xf numFmtId="0" fontId="2" fillId="0" borderId="9" xfId="0" applyFont="1" applyBorder="1" applyAlignment="1">
      <alignment horizontal="center" vertical="center" wrapText="1"/>
    </xf>
    <xf numFmtId="0" fontId="0" fillId="0" borderId="43" xfId="0" applyBorder="1"/>
    <xf numFmtId="0" fontId="6" fillId="0" borderId="0" xfId="0" applyFont="1" applyAlignment="1">
      <alignment horizontal="center" vertical="center" wrapText="1"/>
    </xf>
    <xf numFmtId="0" fontId="4" fillId="4" borderId="103" xfId="0" applyFont="1" applyFill="1" applyBorder="1" applyAlignment="1">
      <alignment horizontal="center" vertical="center" wrapText="1"/>
    </xf>
    <xf numFmtId="0" fontId="0" fillId="0" borderId="30" xfId="0" applyBorder="1"/>
    <xf numFmtId="0" fontId="9" fillId="3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4" fillId="4" borderId="72" xfId="0" applyFont="1" applyFill="1" applyBorder="1" applyAlignment="1">
      <alignment horizontal="center" vertical="center" wrapText="1"/>
    </xf>
    <xf numFmtId="0" fontId="0" fillId="0" borderId="79" xfId="0" applyBorder="1"/>
    <xf numFmtId="0" fontId="9" fillId="0" borderId="6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07" xfId="0" applyFont="1" applyBorder="1" applyAlignment="1">
      <alignment horizontal="center" vertical="center" wrapText="1"/>
    </xf>
    <xf numFmtId="0" fontId="0" fillId="0" borderId="101" xfId="0" applyBorder="1"/>
    <xf numFmtId="0" fontId="9" fillId="0" borderId="57" xfId="0" applyFont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0" fillId="0" borderId="26" xfId="0" applyBorder="1"/>
    <xf numFmtId="0" fontId="4" fillId="4" borderId="106" xfId="0" applyFont="1" applyFill="1" applyBorder="1" applyAlignment="1">
      <alignment horizontal="center" vertical="center" wrapText="1"/>
    </xf>
    <xf numFmtId="0" fontId="0" fillId="0" borderId="3" xfId="0" applyBorder="1"/>
    <xf numFmtId="0" fontId="9" fillId="0" borderId="73" xfId="0" applyFont="1" applyBorder="1" applyAlignment="1">
      <alignment horizontal="center" vertical="center" wrapText="1"/>
    </xf>
    <xf numFmtId="0" fontId="0" fillId="0" borderId="78" xfId="0" applyBorder="1"/>
    <xf numFmtId="0" fontId="9" fillId="0" borderId="110" xfId="0" applyFont="1" applyBorder="1" applyAlignment="1">
      <alignment horizontal="center" vertical="center" wrapText="1"/>
    </xf>
    <xf numFmtId="0" fontId="0" fillId="0" borderId="80" xfId="0" applyBorder="1"/>
    <xf numFmtId="0" fontId="9" fillId="5" borderId="70" xfId="0" applyFont="1" applyFill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 wrapText="1"/>
    </xf>
  </cellXfs>
  <cellStyles count="1">
    <cellStyle name="표준" xfId="0" builtinId="0"/>
  </cellStyles>
  <dxfs count="17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데이터베이스"/>
    </sheetNames>
    <sheetDataSet>
      <sheetData sheetId="0"/>
      <sheetData sheetId="1">
        <row r="2">
          <cell r="A2" t="str">
            <v>국 어</v>
          </cell>
          <cell r="D2" t="str">
            <v>공통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J14" t="str">
            <v>특목고 선택 과목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J15" t="str">
            <v>전문 교과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J16" t="str">
            <v>교육감 승인 과목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  <cell r="J17" t="str">
            <v>교육감 승인 과목(특목고)</v>
          </cell>
        </row>
        <row r="18">
          <cell r="D18" t="str">
            <v>기본수학1</v>
          </cell>
          <cell r="E18">
            <v>4</v>
          </cell>
          <cell r="J18" t="str">
            <v>교육감 승인 과목(전문)</v>
          </cell>
        </row>
        <row r="19">
          <cell r="D19" t="str">
            <v>기본수학2</v>
          </cell>
          <cell r="E19">
            <v>4</v>
          </cell>
          <cell r="J19" t="str">
            <v>타 시·도 교육감 승인 과목</v>
          </cell>
        </row>
        <row r="20">
          <cell r="D20" t="str">
            <v>공통영어1</v>
          </cell>
          <cell r="E20">
            <v>4</v>
          </cell>
          <cell r="J20" t="str">
            <v>타 시·도 교육감 승인 과목(특목고)</v>
          </cell>
        </row>
        <row r="21">
          <cell r="D21" t="str">
            <v>공통영어2</v>
          </cell>
          <cell r="E21">
            <v>4</v>
          </cell>
          <cell r="J21" t="str">
            <v>타 시·도 교육감 승인 과목(전문)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_4" displayName="표3_4" ref="E7:H111" headerRowCount="0" totalsRowShown="0" headerRowDxfId="16" dataDxfId="15" tableBorderDxfId="14">
  <tableColumns count="4">
    <tableColumn id="1" xr3:uid="{00000000-0010-0000-0000-000001000000}" name="기준_x000a_학점" headerRowDxfId="13" dataDxfId="12">
      <calculatedColumnFormula>IFERROR(VLOOKUP(D7, 기본학점, 2, FALSE), "")</calculatedColumnFormula>
    </tableColumn>
    <tableColumn id="2" xr3:uid="{00000000-0010-0000-0000-000002000000}" name="운영_x000a_학점" headerRowDxfId="11" dataDxfId="10"/>
    <tableColumn id="3" xr3:uid="{00000000-0010-0000-0000-000003000000}" name="세로 막대형1" headerRowDxfId="9" dataDxfId="8"/>
    <tableColumn id="4" xr3:uid="{00000000-0010-0000-0000-000004000000}" name="세로 막대형2" headerRowDxfId="7" dataDxfId="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5"/>
  <sheetViews>
    <sheetView tabSelected="1" zoomScale="115" zoomScaleNormal="115" zoomScaleSheetLayoutView="100" workbookViewId="0">
      <selection activeCell="A2" sqref="A2:D2"/>
    </sheetView>
  </sheetViews>
  <sheetFormatPr defaultRowHeight="14.15" x14ac:dyDescent="0.3"/>
  <cols>
    <col min="1" max="1" width="4.3984375" style="181" customWidth="1"/>
    <col min="2" max="2" width="13" style="182" customWidth="1"/>
    <col min="3" max="3" width="7.59765625" style="182" customWidth="1"/>
    <col min="4" max="4" width="22" style="182" customWidth="1"/>
    <col min="5" max="12" width="5.796875" style="182" customWidth="1"/>
    <col min="13" max="14" width="13.6640625" style="182" customWidth="1"/>
    <col min="15" max="16" width="5.796875" style="182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 x14ac:dyDescent="0.3">
      <c r="A1" s="231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</row>
    <row r="2" spans="1:16" ht="29.25" customHeight="1" thickBot="1" x14ac:dyDescent="0.35">
      <c r="A2" s="223" t="s">
        <v>1</v>
      </c>
      <c r="B2" s="221"/>
      <c r="C2" s="221"/>
      <c r="D2" s="221"/>
      <c r="E2" s="7"/>
      <c r="F2" s="8"/>
      <c r="G2" s="9"/>
      <c r="H2" s="9"/>
      <c r="I2" s="9"/>
      <c r="J2" s="9"/>
      <c r="K2" s="226"/>
      <c r="L2" s="221"/>
      <c r="M2" s="221"/>
      <c r="N2" s="221"/>
      <c r="O2" s="221"/>
      <c r="P2" s="221"/>
    </row>
    <row r="3" spans="1:16" ht="16.5" customHeight="1" x14ac:dyDescent="0.3">
      <c r="A3" s="232" t="s">
        <v>2</v>
      </c>
      <c r="B3" s="227" t="s">
        <v>3</v>
      </c>
      <c r="C3" s="192" t="s">
        <v>4</v>
      </c>
      <c r="D3" s="192" t="s">
        <v>5</v>
      </c>
      <c r="E3" s="192" t="s">
        <v>6</v>
      </c>
      <c r="F3" s="192" t="s">
        <v>7</v>
      </c>
      <c r="G3" s="236" t="s">
        <v>8</v>
      </c>
      <c r="H3" s="237"/>
      <c r="I3" s="236" t="s">
        <v>9</v>
      </c>
      <c r="J3" s="237"/>
      <c r="K3" s="236" t="s">
        <v>10</v>
      </c>
      <c r="L3" s="237"/>
      <c r="M3" s="192" t="s">
        <v>11</v>
      </c>
      <c r="N3" s="245" t="s">
        <v>12</v>
      </c>
      <c r="O3" s="192" t="s">
        <v>13</v>
      </c>
      <c r="P3" s="224" t="s">
        <v>14</v>
      </c>
    </row>
    <row r="4" spans="1:16" ht="14.4" customHeight="1" x14ac:dyDescent="0.3">
      <c r="A4" s="186"/>
      <c r="B4" s="198"/>
      <c r="C4" s="193"/>
      <c r="D4" s="193"/>
      <c r="E4" s="193"/>
      <c r="F4" s="193"/>
      <c r="G4" s="243" t="s">
        <v>15</v>
      </c>
      <c r="H4" s="190" t="s">
        <v>16</v>
      </c>
      <c r="I4" s="243" t="s">
        <v>15</v>
      </c>
      <c r="J4" s="190" t="s">
        <v>16</v>
      </c>
      <c r="K4" s="243" t="s">
        <v>15</v>
      </c>
      <c r="L4" s="190" t="s">
        <v>16</v>
      </c>
      <c r="M4" s="193"/>
      <c r="N4" s="188"/>
      <c r="O4" s="193"/>
      <c r="P4" s="196"/>
    </row>
    <row r="5" spans="1:16" ht="14.4" customHeight="1" thickBot="1" x14ac:dyDescent="0.35">
      <c r="A5" s="233"/>
      <c r="B5" s="228"/>
      <c r="C5" s="194"/>
      <c r="D5" s="194"/>
      <c r="E5" s="194"/>
      <c r="F5" s="194"/>
      <c r="G5" s="244"/>
      <c r="H5" s="191"/>
      <c r="I5" s="244"/>
      <c r="J5" s="191"/>
      <c r="K5" s="244"/>
      <c r="L5" s="191"/>
      <c r="M5" s="194"/>
      <c r="N5" s="246"/>
      <c r="O5" s="194"/>
      <c r="P5" s="225"/>
    </row>
    <row r="6" spans="1:16" ht="14.4" hidden="1" customHeight="1" thickBot="1" x14ac:dyDescent="0.35">
      <c r="A6" s="10"/>
      <c r="B6" s="11"/>
      <c r="C6" s="14"/>
      <c r="D6" s="15"/>
      <c r="G6" s="16"/>
      <c r="H6" s="17"/>
      <c r="I6" s="18"/>
      <c r="J6" s="17"/>
      <c r="K6" s="18"/>
      <c r="L6" s="19"/>
      <c r="M6" s="20"/>
      <c r="N6" s="21"/>
      <c r="O6" s="12"/>
      <c r="P6" s="13"/>
    </row>
    <row r="7" spans="1:16" ht="15.65" customHeight="1" x14ac:dyDescent="0.3">
      <c r="A7" s="185" t="s">
        <v>17</v>
      </c>
      <c r="B7" s="252" t="s">
        <v>18</v>
      </c>
      <c r="C7" s="23" t="s">
        <v>19</v>
      </c>
      <c r="D7" s="24" t="s">
        <v>20</v>
      </c>
      <c r="E7" s="25">
        <f t="shared" ref="E7:E38" si="0">IFERROR(VLOOKUP(D7, 기본학점, 2, FALSE), "")</f>
        <v>4</v>
      </c>
      <c r="F7" s="26">
        <v>4</v>
      </c>
      <c r="G7" s="27">
        <v>4</v>
      </c>
      <c r="H7" s="28"/>
      <c r="I7" s="29"/>
      <c r="J7" s="30"/>
      <c r="K7" s="29"/>
      <c r="L7" s="31"/>
      <c r="M7" s="32"/>
      <c r="N7" s="33"/>
      <c r="O7" s="203">
        <f>SUM(F7:F11)</f>
        <v>19</v>
      </c>
      <c r="P7" s="238">
        <v>8</v>
      </c>
    </row>
    <row r="8" spans="1:16" ht="15.65" customHeight="1" x14ac:dyDescent="0.3">
      <c r="A8" s="186"/>
      <c r="B8" s="198"/>
      <c r="C8" s="34" t="s">
        <v>19</v>
      </c>
      <c r="D8" s="35" t="s">
        <v>21</v>
      </c>
      <c r="E8" s="36">
        <f t="shared" si="0"/>
        <v>4</v>
      </c>
      <c r="F8" s="37">
        <v>4</v>
      </c>
      <c r="G8" s="38"/>
      <c r="H8" s="39">
        <v>4</v>
      </c>
      <c r="I8" s="40"/>
      <c r="J8" s="41"/>
      <c r="K8" s="40"/>
      <c r="L8" s="42"/>
      <c r="M8" s="43"/>
      <c r="N8" s="33"/>
      <c r="O8" s="193"/>
      <c r="P8" s="196"/>
    </row>
    <row r="9" spans="1:16" ht="15.65" customHeight="1" x14ac:dyDescent="0.3">
      <c r="A9" s="186"/>
      <c r="B9" s="198"/>
      <c r="C9" s="34" t="s">
        <v>22</v>
      </c>
      <c r="D9" s="35" t="s">
        <v>23</v>
      </c>
      <c r="E9" s="36">
        <f t="shared" si="0"/>
        <v>4</v>
      </c>
      <c r="F9" s="37">
        <v>4</v>
      </c>
      <c r="G9" s="38"/>
      <c r="H9" s="39"/>
      <c r="I9" s="40">
        <v>4</v>
      </c>
      <c r="J9" s="41"/>
      <c r="K9" s="40"/>
      <c r="L9" s="42"/>
      <c r="M9" s="43"/>
      <c r="N9" s="33"/>
      <c r="O9" s="193"/>
      <c r="P9" s="196"/>
    </row>
    <row r="10" spans="1:16" ht="15.65" customHeight="1" x14ac:dyDescent="0.3">
      <c r="A10" s="186"/>
      <c r="B10" s="198"/>
      <c r="C10" s="34" t="s">
        <v>22</v>
      </c>
      <c r="D10" s="35" t="s">
        <v>24</v>
      </c>
      <c r="E10" s="36">
        <f t="shared" si="0"/>
        <v>4</v>
      </c>
      <c r="F10" s="37">
        <v>4</v>
      </c>
      <c r="G10" s="38"/>
      <c r="H10" s="39"/>
      <c r="I10" s="40"/>
      <c r="J10" s="41">
        <v>4</v>
      </c>
      <c r="K10" s="40"/>
      <c r="L10" s="42"/>
      <c r="M10" s="43"/>
      <c r="N10" s="33"/>
      <c r="O10" s="193"/>
      <c r="P10" s="196"/>
    </row>
    <row r="11" spans="1:16" ht="15.65" customHeight="1" x14ac:dyDescent="0.3">
      <c r="A11" s="186"/>
      <c r="B11" s="198"/>
      <c r="C11" s="45" t="s">
        <v>22</v>
      </c>
      <c r="D11" s="35" t="s">
        <v>25</v>
      </c>
      <c r="E11" s="36">
        <f t="shared" si="0"/>
        <v>4</v>
      </c>
      <c r="F11" s="37">
        <v>3</v>
      </c>
      <c r="G11" s="38"/>
      <c r="H11" s="39"/>
      <c r="I11" s="40"/>
      <c r="J11" s="41"/>
      <c r="K11" s="40">
        <v>3</v>
      </c>
      <c r="L11" s="42"/>
      <c r="M11" s="43"/>
      <c r="N11" s="33"/>
      <c r="O11" s="204"/>
      <c r="P11" s="196"/>
    </row>
    <row r="12" spans="1:16" ht="15.65" customHeight="1" x14ac:dyDescent="0.3">
      <c r="A12" s="186"/>
      <c r="B12" s="208" t="s">
        <v>26</v>
      </c>
      <c r="C12" s="47" t="s">
        <v>19</v>
      </c>
      <c r="D12" s="48" t="s">
        <v>27</v>
      </c>
      <c r="E12" s="49">
        <f t="shared" si="0"/>
        <v>4</v>
      </c>
      <c r="F12" s="50">
        <v>4</v>
      </c>
      <c r="G12" s="51">
        <v>4</v>
      </c>
      <c r="H12" s="52"/>
      <c r="I12" s="53"/>
      <c r="J12" s="54"/>
      <c r="K12" s="51"/>
      <c r="L12" s="52"/>
      <c r="M12" s="55"/>
      <c r="N12" s="56"/>
      <c r="O12" s="187">
        <f>SUM(F12:F16)</f>
        <v>19</v>
      </c>
      <c r="P12" s="207">
        <v>8</v>
      </c>
    </row>
    <row r="13" spans="1:16" ht="15.65" customHeight="1" x14ac:dyDescent="0.3">
      <c r="A13" s="186"/>
      <c r="B13" s="198"/>
      <c r="C13" s="45" t="s">
        <v>19</v>
      </c>
      <c r="D13" s="35" t="s">
        <v>28</v>
      </c>
      <c r="E13" s="36">
        <f t="shared" si="0"/>
        <v>4</v>
      </c>
      <c r="F13" s="57">
        <v>4</v>
      </c>
      <c r="G13" s="58"/>
      <c r="H13" s="39">
        <v>4</v>
      </c>
      <c r="I13" s="40"/>
      <c r="J13" s="41"/>
      <c r="K13" s="58"/>
      <c r="L13" s="39"/>
      <c r="M13" s="43"/>
      <c r="N13" s="33"/>
      <c r="O13" s="188"/>
      <c r="P13" s="196"/>
    </row>
    <row r="14" spans="1:16" ht="15.65" customHeight="1" x14ac:dyDescent="0.3">
      <c r="A14" s="186"/>
      <c r="B14" s="198"/>
      <c r="C14" s="45" t="s">
        <v>22</v>
      </c>
      <c r="D14" s="35" t="s">
        <v>29</v>
      </c>
      <c r="E14" s="36">
        <f t="shared" si="0"/>
        <v>4</v>
      </c>
      <c r="F14" s="37">
        <v>4</v>
      </c>
      <c r="G14" s="58"/>
      <c r="H14" s="39"/>
      <c r="I14" s="40">
        <v>4</v>
      </c>
      <c r="J14" s="41"/>
      <c r="K14" s="58"/>
      <c r="L14" s="39"/>
      <c r="M14" s="43"/>
      <c r="N14" s="33"/>
      <c r="O14" s="188"/>
      <c r="P14" s="196"/>
    </row>
    <row r="15" spans="1:16" ht="15.65" customHeight="1" x14ac:dyDescent="0.3">
      <c r="A15" s="186"/>
      <c r="B15" s="198"/>
      <c r="C15" s="45" t="s">
        <v>22</v>
      </c>
      <c r="D15" s="35" t="s">
        <v>30</v>
      </c>
      <c r="E15" s="36">
        <f t="shared" si="0"/>
        <v>4</v>
      </c>
      <c r="F15" s="37">
        <v>4</v>
      </c>
      <c r="G15" s="58"/>
      <c r="H15" s="39"/>
      <c r="I15" s="40"/>
      <c r="J15" s="41">
        <v>4</v>
      </c>
      <c r="K15" s="58"/>
      <c r="L15" s="39"/>
      <c r="M15" s="43"/>
      <c r="N15" s="33"/>
      <c r="O15" s="188"/>
      <c r="P15" s="196"/>
    </row>
    <row r="16" spans="1:16" ht="15.65" customHeight="1" x14ac:dyDescent="0.3">
      <c r="A16" s="186"/>
      <c r="B16" s="198"/>
      <c r="C16" s="45" t="s">
        <v>22</v>
      </c>
      <c r="D16" s="35" t="s">
        <v>31</v>
      </c>
      <c r="E16" s="36">
        <f t="shared" si="0"/>
        <v>4</v>
      </c>
      <c r="F16" s="37">
        <v>3</v>
      </c>
      <c r="G16" s="58"/>
      <c r="H16" s="39"/>
      <c r="I16" s="40"/>
      <c r="J16" s="41"/>
      <c r="K16" s="40">
        <v>3</v>
      </c>
      <c r="L16" s="41"/>
      <c r="M16" s="43"/>
      <c r="N16" s="33"/>
      <c r="O16" s="188"/>
      <c r="P16" s="196"/>
    </row>
    <row r="17" spans="1:20" ht="15.65" customHeight="1" x14ac:dyDescent="0.3">
      <c r="A17" s="186"/>
      <c r="B17" s="208" t="s">
        <v>32</v>
      </c>
      <c r="C17" s="47" t="s">
        <v>19</v>
      </c>
      <c r="D17" s="48" t="s">
        <v>33</v>
      </c>
      <c r="E17" s="49">
        <f t="shared" si="0"/>
        <v>4</v>
      </c>
      <c r="F17" s="59">
        <v>4</v>
      </c>
      <c r="G17" s="60">
        <v>4</v>
      </c>
      <c r="H17" s="52"/>
      <c r="I17" s="53"/>
      <c r="J17" s="54"/>
      <c r="K17" s="53"/>
      <c r="L17" s="54"/>
      <c r="M17" s="55"/>
      <c r="N17" s="56"/>
      <c r="O17" s="189">
        <f>SUM(F17:F21)</f>
        <v>19</v>
      </c>
      <c r="P17" s="207">
        <v>8</v>
      </c>
    </row>
    <row r="18" spans="1:20" ht="15.65" customHeight="1" x14ac:dyDescent="0.3">
      <c r="A18" s="186"/>
      <c r="B18" s="198"/>
      <c r="C18" s="45" t="s">
        <v>19</v>
      </c>
      <c r="D18" s="35" t="s">
        <v>34</v>
      </c>
      <c r="E18" s="36">
        <f t="shared" si="0"/>
        <v>4</v>
      </c>
      <c r="F18" s="37">
        <v>4</v>
      </c>
      <c r="G18" s="38"/>
      <c r="H18" s="39">
        <v>4</v>
      </c>
      <c r="I18" s="40"/>
      <c r="J18" s="41"/>
      <c r="K18" s="40"/>
      <c r="L18" s="41"/>
      <c r="M18" s="43"/>
      <c r="N18" s="33"/>
      <c r="O18" s="188"/>
      <c r="P18" s="196"/>
    </row>
    <row r="19" spans="1:20" ht="15.65" customHeight="1" x14ac:dyDescent="0.3">
      <c r="A19" s="186"/>
      <c r="B19" s="198"/>
      <c r="C19" s="45" t="s">
        <v>22</v>
      </c>
      <c r="D19" s="35" t="s">
        <v>35</v>
      </c>
      <c r="E19" s="36">
        <f t="shared" si="0"/>
        <v>4</v>
      </c>
      <c r="F19" s="37">
        <v>4</v>
      </c>
      <c r="G19" s="38"/>
      <c r="H19" s="39"/>
      <c r="I19" s="40">
        <v>4</v>
      </c>
      <c r="J19" s="41"/>
      <c r="K19" s="40"/>
      <c r="L19" s="41"/>
      <c r="M19" s="43"/>
      <c r="N19" s="33"/>
      <c r="O19" s="188"/>
      <c r="P19" s="196"/>
    </row>
    <row r="20" spans="1:20" ht="15.65" customHeight="1" x14ac:dyDescent="0.3">
      <c r="A20" s="186"/>
      <c r="B20" s="198"/>
      <c r="C20" s="45" t="s">
        <v>22</v>
      </c>
      <c r="D20" s="35" t="s">
        <v>36</v>
      </c>
      <c r="E20" s="36">
        <f t="shared" si="0"/>
        <v>4</v>
      </c>
      <c r="F20" s="37">
        <v>4</v>
      </c>
      <c r="G20" s="38"/>
      <c r="H20" s="39"/>
      <c r="I20" s="40"/>
      <c r="J20" s="41">
        <v>4</v>
      </c>
      <c r="K20" s="40"/>
      <c r="L20" s="41"/>
      <c r="M20" s="43"/>
      <c r="N20" s="33"/>
      <c r="O20" s="188"/>
      <c r="P20" s="196"/>
    </row>
    <row r="21" spans="1:20" ht="15.65" customHeight="1" x14ac:dyDescent="0.3">
      <c r="A21" s="186"/>
      <c r="B21" s="198"/>
      <c r="C21" s="45" t="s">
        <v>22</v>
      </c>
      <c r="D21" s="35" t="s">
        <v>37</v>
      </c>
      <c r="E21" s="36">
        <f t="shared" si="0"/>
        <v>4</v>
      </c>
      <c r="F21" s="37">
        <v>3</v>
      </c>
      <c r="G21" s="38"/>
      <c r="H21" s="39"/>
      <c r="I21" s="40"/>
      <c r="J21" s="41"/>
      <c r="K21" s="40">
        <v>3</v>
      </c>
      <c r="L21" s="41"/>
      <c r="M21" s="43"/>
      <c r="N21" s="33"/>
      <c r="O21" s="188"/>
      <c r="P21" s="196"/>
    </row>
    <row r="22" spans="1:20" ht="15.65" customHeight="1" x14ac:dyDescent="0.3">
      <c r="A22" s="186"/>
      <c r="B22" s="208" t="s">
        <v>38</v>
      </c>
      <c r="C22" s="3" t="s">
        <v>19</v>
      </c>
      <c r="D22" s="48" t="s">
        <v>39</v>
      </c>
      <c r="E22" s="49">
        <f t="shared" si="0"/>
        <v>3</v>
      </c>
      <c r="F22" s="59">
        <v>3</v>
      </c>
      <c r="G22" s="60">
        <v>3</v>
      </c>
      <c r="H22" s="52"/>
      <c r="I22" s="53"/>
      <c r="J22" s="54"/>
      <c r="K22" s="53"/>
      <c r="L22" s="61"/>
      <c r="M22" s="55"/>
      <c r="N22" s="56"/>
      <c r="O22" s="229">
        <f>SUM(F22:F23)</f>
        <v>6</v>
      </c>
      <c r="P22" s="183">
        <v>6</v>
      </c>
    </row>
    <row r="23" spans="1:20" ht="15.65" customHeight="1" x14ac:dyDescent="0.3">
      <c r="A23" s="186"/>
      <c r="B23" s="198"/>
      <c r="C23" s="4" t="s">
        <v>19</v>
      </c>
      <c r="D23" s="62" t="s">
        <v>40</v>
      </c>
      <c r="E23" s="63">
        <f t="shared" si="0"/>
        <v>3</v>
      </c>
      <c r="F23" s="64">
        <v>3</v>
      </c>
      <c r="G23" s="65"/>
      <c r="H23" s="66">
        <v>3</v>
      </c>
      <c r="I23" s="67"/>
      <c r="J23" s="68"/>
      <c r="K23" s="67"/>
      <c r="L23" s="68"/>
      <c r="M23" s="62"/>
      <c r="N23" s="4"/>
      <c r="O23" s="230"/>
      <c r="P23" s="184"/>
    </row>
    <row r="24" spans="1:20" ht="15.65" customHeight="1" x14ac:dyDescent="0.3">
      <c r="A24" s="186"/>
      <c r="B24" s="198"/>
      <c r="C24" s="47" t="s">
        <v>19</v>
      </c>
      <c r="D24" s="48" t="s">
        <v>41</v>
      </c>
      <c r="E24" s="49">
        <f t="shared" si="0"/>
        <v>4</v>
      </c>
      <c r="F24" s="59">
        <v>4</v>
      </c>
      <c r="G24" s="60">
        <v>4</v>
      </c>
      <c r="H24" s="52"/>
      <c r="I24" s="53"/>
      <c r="J24" s="54"/>
      <c r="K24" s="53"/>
      <c r="L24" s="61"/>
      <c r="M24" s="55"/>
      <c r="N24" s="47"/>
      <c r="O24" s="189">
        <f>SUM(F24:F25)</f>
        <v>8</v>
      </c>
      <c r="P24" s="207">
        <v>8</v>
      </c>
    </row>
    <row r="25" spans="1:20" ht="15.65" customHeight="1" x14ac:dyDescent="0.3">
      <c r="A25" s="186"/>
      <c r="B25" s="198"/>
      <c r="C25" s="45" t="s">
        <v>19</v>
      </c>
      <c r="D25" s="35" t="s">
        <v>42</v>
      </c>
      <c r="E25" s="36">
        <f t="shared" si="0"/>
        <v>4</v>
      </c>
      <c r="F25" s="37">
        <v>4</v>
      </c>
      <c r="G25" s="38"/>
      <c r="H25" s="39">
        <v>4</v>
      </c>
      <c r="I25" s="40"/>
      <c r="J25" s="41"/>
      <c r="K25" s="40"/>
      <c r="L25" s="42"/>
      <c r="M25" s="43"/>
      <c r="N25" s="45"/>
      <c r="O25" s="188"/>
      <c r="P25" s="196"/>
    </row>
    <row r="26" spans="1:20" ht="15.65" customHeight="1" x14ac:dyDescent="0.3">
      <c r="A26" s="186"/>
      <c r="B26" s="208" t="s">
        <v>43</v>
      </c>
      <c r="C26" s="47" t="s">
        <v>19</v>
      </c>
      <c r="D26" s="48" t="s">
        <v>44</v>
      </c>
      <c r="E26" s="49">
        <f t="shared" si="0"/>
        <v>4</v>
      </c>
      <c r="F26" s="59">
        <v>4</v>
      </c>
      <c r="G26" s="60">
        <v>4</v>
      </c>
      <c r="H26" s="52"/>
      <c r="I26" s="53"/>
      <c r="J26" s="54"/>
      <c r="K26" s="70"/>
      <c r="L26" s="71"/>
      <c r="M26" s="55"/>
      <c r="N26" s="47"/>
      <c r="O26" s="189">
        <f>SUM(F26:F29)</f>
        <v>10</v>
      </c>
      <c r="P26" s="207">
        <v>10</v>
      </c>
    </row>
    <row r="27" spans="1:20" ht="15.65" customHeight="1" x14ac:dyDescent="0.3">
      <c r="A27" s="186"/>
      <c r="B27" s="198"/>
      <c r="C27" s="2" t="s">
        <v>19</v>
      </c>
      <c r="D27" s="35" t="s">
        <v>45</v>
      </c>
      <c r="E27" s="36">
        <f t="shared" si="0"/>
        <v>4</v>
      </c>
      <c r="F27" s="37">
        <v>4</v>
      </c>
      <c r="G27" s="38"/>
      <c r="H27" s="39">
        <v>4</v>
      </c>
      <c r="I27" s="40"/>
      <c r="J27" s="41"/>
      <c r="K27" s="72"/>
      <c r="L27" s="73"/>
      <c r="M27" s="43"/>
      <c r="N27" s="33"/>
      <c r="O27" s="188"/>
      <c r="P27" s="196"/>
    </row>
    <row r="28" spans="1:20" ht="15.65" customHeight="1" x14ac:dyDescent="0.3">
      <c r="A28" s="186"/>
      <c r="B28" s="198"/>
      <c r="C28" s="45" t="s">
        <v>19</v>
      </c>
      <c r="D28" s="35" t="s">
        <v>46</v>
      </c>
      <c r="E28" s="36">
        <f t="shared" si="0"/>
        <v>1</v>
      </c>
      <c r="F28" s="37">
        <v>1</v>
      </c>
      <c r="G28" s="38">
        <v>1</v>
      </c>
      <c r="H28" s="39"/>
      <c r="I28" s="40"/>
      <c r="J28" s="41"/>
      <c r="K28" s="72"/>
      <c r="L28" s="73"/>
      <c r="M28" s="43"/>
      <c r="N28" s="33"/>
      <c r="O28" s="188"/>
      <c r="P28" s="196"/>
    </row>
    <row r="29" spans="1:20" ht="15.65" customHeight="1" x14ac:dyDescent="0.3">
      <c r="A29" s="186"/>
      <c r="B29" s="198"/>
      <c r="C29" s="45" t="s">
        <v>19</v>
      </c>
      <c r="D29" s="35" t="s">
        <v>47</v>
      </c>
      <c r="E29" s="36">
        <f t="shared" si="0"/>
        <v>1</v>
      </c>
      <c r="F29" s="37">
        <v>1</v>
      </c>
      <c r="G29" s="38"/>
      <c r="H29" s="39">
        <v>1</v>
      </c>
      <c r="I29" s="40"/>
      <c r="J29" s="41"/>
      <c r="K29" s="72"/>
      <c r="L29" s="73"/>
      <c r="M29" s="43"/>
      <c r="N29" s="33"/>
      <c r="O29" s="188"/>
      <c r="P29" s="196"/>
    </row>
    <row r="30" spans="1:20" ht="15.65" customHeight="1" x14ac:dyDescent="0.3">
      <c r="A30" s="186"/>
      <c r="B30" s="208" t="s">
        <v>48</v>
      </c>
      <c r="C30" s="47" t="s">
        <v>22</v>
      </c>
      <c r="D30" s="48" t="s">
        <v>49</v>
      </c>
      <c r="E30" s="49">
        <f t="shared" si="0"/>
        <v>3</v>
      </c>
      <c r="F30" s="50">
        <v>2</v>
      </c>
      <c r="G30" s="51">
        <v>2</v>
      </c>
      <c r="H30" s="52"/>
      <c r="I30" s="53"/>
      <c r="J30" s="54"/>
      <c r="K30" s="53"/>
      <c r="L30" s="61"/>
      <c r="M30" s="55"/>
      <c r="N30" s="47"/>
      <c r="O30" s="189">
        <f>SUM(F30:F35)</f>
        <v>10</v>
      </c>
      <c r="P30" s="207">
        <v>10</v>
      </c>
      <c r="R30" s="74"/>
      <c r="S30" s="74"/>
      <c r="T30" s="74"/>
    </row>
    <row r="31" spans="1:20" ht="15.65" customHeight="1" x14ac:dyDescent="0.3">
      <c r="A31" s="186"/>
      <c r="B31" s="198"/>
      <c r="C31" s="45" t="s">
        <v>22</v>
      </c>
      <c r="D31" s="35" t="s">
        <v>50</v>
      </c>
      <c r="E31" s="36">
        <f t="shared" si="0"/>
        <v>3</v>
      </c>
      <c r="F31" s="37">
        <v>2</v>
      </c>
      <c r="G31" s="58"/>
      <c r="H31" s="39">
        <v>2</v>
      </c>
      <c r="I31" s="40"/>
      <c r="J31" s="41"/>
      <c r="K31" s="40"/>
      <c r="L31" s="42"/>
      <c r="M31" s="43"/>
      <c r="N31" s="33"/>
      <c r="O31" s="188"/>
      <c r="P31" s="196"/>
      <c r="R31" s="74"/>
      <c r="S31" s="74"/>
      <c r="T31" s="74"/>
    </row>
    <row r="32" spans="1:20" ht="15.65" customHeight="1" x14ac:dyDescent="0.3">
      <c r="A32" s="186"/>
      <c r="B32" s="198"/>
      <c r="C32" s="45" t="s">
        <v>51</v>
      </c>
      <c r="D32" s="35" t="s">
        <v>52</v>
      </c>
      <c r="E32" s="36">
        <f t="shared" si="0"/>
        <v>3</v>
      </c>
      <c r="F32" s="37">
        <v>2</v>
      </c>
      <c r="G32" s="58"/>
      <c r="H32" s="39"/>
      <c r="I32" s="40">
        <v>2</v>
      </c>
      <c r="J32" s="41"/>
      <c r="K32" s="40"/>
      <c r="L32" s="42"/>
      <c r="M32" s="43"/>
      <c r="N32" s="33"/>
      <c r="O32" s="188"/>
      <c r="P32" s="196"/>
      <c r="R32" s="74"/>
      <c r="S32" s="74"/>
      <c r="T32" s="74"/>
    </row>
    <row r="33" spans="1:20" ht="15.65" customHeight="1" x14ac:dyDescent="0.3">
      <c r="A33" s="186"/>
      <c r="B33" s="198"/>
      <c r="C33" s="45" t="s">
        <v>51</v>
      </c>
      <c r="D33" s="35" t="s">
        <v>53</v>
      </c>
      <c r="E33" s="36">
        <f t="shared" si="0"/>
        <v>3</v>
      </c>
      <c r="F33" s="37">
        <v>2</v>
      </c>
      <c r="G33" s="58"/>
      <c r="H33" s="39"/>
      <c r="I33" s="40"/>
      <c r="J33" s="41">
        <v>2</v>
      </c>
      <c r="K33" s="40"/>
      <c r="L33" s="42"/>
      <c r="M33" s="43"/>
      <c r="N33" s="33"/>
      <c r="O33" s="188"/>
      <c r="P33" s="196"/>
      <c r="R33" s="74"/>
      <c r="S33" s="74"/>
      <c r="T33" s="74"/>
    </row>
    <row r="34" spans="1:20" ht="15.65" customHeight="1" x14ac:dyDescent="0.3">
      <c r="A34" s="186"/>
      <c r="B34" s="198"/>
      <c r="C34" s="45" t="s">
        <v>54</v>
      </c>
      <c r="D34" s="35" t="s">
        <v>55</v>
      </c>
      <c r="E34" s="36">
        <f t="shared" si="0"/>
        <v>2</v>
      </c>
      <c r="F34" s="37">
        <v>1</v>
      </c>
      <c r="G34" s="58"/>
      <c r="H34" s="39"/>
      <c r="I34" s="40"/>
      <c r="J34" s="41"/>
      <c r="K34" s="40">
        <v>1</v>
      </c>
      <c r="L34" s="42"/>
      <c r="M34" s="43"/>
      <c r="N34" s="33"/>
      <c r="O34" s="188"/>
      <c r="P34" s="196"/>
      <c r="R34" s="74"/>
      <c r="S34" s="74"/>
      <c r="T34" s="74"/>
    </row>
    <row r="35" spans="1:20" ht="15.65" customHeight="1" x14ac:dyDescent="0.3">
      <c r="A35" s="186"/>
      <c r="B35" s="198"/>
      <c r="C35" s="45" t="s">
        <v>54</v>
      </c>
      <c r="D35" s="35" t="s">
        <v>56</v>
      </c>
      <c r="E35" s="36">
        <f t="shared" si="0"/>
        <v>2</v>
      </c>
      <c r="F35" s="37">
        <v>1</v>
      </c>
      <c r="G35" s="38"/>
      <c r="H35" s="39"/>
      <c r="I35" s="40"/>
      <c r="J35" s="41"/>
      <c r="K35" s="40"/>
      <c r="L35" s="42">
        <v>1</v>
      </c>
      <c r="M35" s="43"/>
      <c r="N35" s="33"/>
      <c r="O35" s="188"/>
      <c r="P35" s="196"/>
      <c r="R35" s="74"/>
      <c r="S35" s="74"/>
      <c r="T35" s="74"/>
    </row>
    <row r="36" spans="1:20" ht="15.65" customHeight="1" x14ac:dyDescent="0.3">
      <c r="A36" s="186"/>
      <c r="B36" s="208" t="s">
        <v>57</v>
      </c>
      <c r="C36" s="47" t="s">
        <v>22</v>
      </c>
      <c r="D36" s="48" t="s">
        <v>58</v>
      </c>
      <c r="E36" s="49">
        <f t="shared" si="0"/>
        <v>3</v>
      </c>
      <c r="F36" s="59">
        <v>3</v>
      </c>
      <c r="G36" s="51">
        <v>3</v>
      </c>
      <c r="H36" s="52" t="s">
        <v>59</v>
      </c>
      <c r="I36" s="53"/>
      <c r="J36" s="54"/>
      <c r="K36" s="53"/>
      <c r="L36" s="61"/>
      <c r="M36" s="55"/>
      <c r="N36" s="47"/>
      <c r="O36" s="189">
        <f>SUM(F36:F39)</f>
        <v>10</v>
      </c>
      <c r="P36" s="183">
        <v>10</v>
      </c>
      <c r="R36" s="74"/>
      <c r="S36" s="74"/>
      <c r="T36" s="74"/>
    </row>
    <row r="37" spans="1:20" ht="15.65" customHeight="1" x14ac:dyDescent="0.3">
      <c r="A37" s="186"/>
      <c r="B37" s="198"/>
      <c r="C37" s="45" t="s">
        <v>22</v>
      </c>
      <c r="D37" s="35" t="s">
        <v>60</v>
      </c>
      <c r="E37" s="36">
        <f t="shared" si="0"/>
        <v>3</v>
      </c>
      <c r="F37" s="37">
        <v>3</v>
      </c>
      <c r="G37" s="58" t="s">
        <v>59</v>
      </c>
      <c r="H37" s="39">
        <v>3</v>
      </c>
      <c r="I37" s="40"/>
      <c r="J37" s="41"/>
      <c r="K37" s="40"/>
      <c r="L37" s="42"/>
      <c r="M37" s="43"/>
      <c r="N37" s="33"/>
      <c r="O37" s="188"/>
      <c r="P37" s="196"/>
      <c r="R37" s="74"/>
      <c r="S37" s="74"/>
      <c r="T37" s="74"/>
    </row>
    <row r="38" spans="1:20" ht="15.65" customHeight="1" x14ac:dyDescent="0.3">
      <c r="A38" s="186"/>
      <c r="B38" s="198"/>
      <c r="C38" s="45" t="s">
        <v>51</v>
      </c>
      <c r="D38" s="35" t="s">
        <v>61</v>
      </c>
      <c r="E38" s="36">
        <f t="shared" si="0"/>
        <v>3</v>
      </c>
      <c r="F38" s="37">
        <v>2</v>
      </c>
      <c r="G38" s="58"/>
      <c r="H38" s="39"/>
      <c r="I38" s="40"/>
      <c r="J38" s="41"/>
      <c r="K38" s="40">
        <v>2</v>
      </c>
      <c r="L38" s="42" t="s">
        <v>62</v>
      </c>
      <c r="M38" s="43"/>
      <c r="N38" s="33"/>
      <c r="O38" s="188"/>
      <c r="P38" s="196"/>
      <c r="R38" s="74"/>
      <c r="S38" s="74"/>
      <c r="T38" s="74"/>
    </row>
    <row r="39" spans="1:20" ht="15.65" customHeight="1" x14ac:dyDescent="0.3">
      <c r="A39" s="186"/>
      <c r="B39" s="198"/>
      <c r="C39" s="45" t="s">
        <v>51</v>
      </c>
      <c r="D39" s="35" t="s">
        <v>63</v>
      </c>
      <c r="E39" s="36">
        <f t="shared" ref="E39:E70" si="1">IFERROR(VLOOKUP(D39, 기본학점, 2, FALSE), "")</f>
        <v>3</v>
      </c>
      <c r="F39" s="37">
        <v>2</v>
      </c>
      <c r="G39" s="58"/>
      <c r="H39" s="39"/>
      <c r="I39" s="40"/>
      <c r="J39" s="41"/>
      <c r="K39" s="40" t="s">
        <v>62</v>
      </c>
      <c r="L39" s="42">
        <v>2</v>
      </c>
      <c r="M39" s="43"/>
      <c r="N39" s="33"/>
      <c r="O39" s="188"/>
      <c r="P39" s="184"/>
      <c r="R39" s="74"/>
      <c r="S39" s="74"/>
      <c r="T39" s="74"/>
    </row>
    <row r="40" spans="1:20" ht="15.65" customHeight="1" x14ac:dyDescent="0.3">
      <c r="A40" s="186"/>
      <c r="B40" s="208" t="s">
        <v>64</v>
      </c>
      <c r="C40" s="47" t="s">
        <v>51</v>
      </c>
      <c r="D40" s="48" t="s">
        <v>65</v>
      </c>
      <c r="E40" s="49">
        <f t="shared" si="1"/>
        <v>3</v>
      </c>
      <c r="F40" s="59">
        <v>2</v>
      </c>
      <c r="G40" s="51"/>
      <c r="H40" s="52"/>
      <c r="I40" s="53"/>
      <c r="J40" s="54"/>
      <c r="K40" s="53">
        <v>2</v>
      </c>
      <c r="L40" s="61"/>
      <c r="M40" s="55"/>
      <c r="N40" s="47"/>
      <c r="O40" s="202">
        <f>SUM(F40:F41)</f>
        <v>4</v>
      </c>
      <c r="P40" s="239">
        <v>16</v>
      </c>
      <c r="R40" s="74"/>
      <c r="S40" s="74"/>
      <c r="T40" s="74"/>
    </row>
    <row r="41" spans="1:20" ht="15.65" customHeight="1" thickBot="1" x14ac:dyDescent="0.35">
      <c r="A41" s="186"/>
      <c r="B41" s="198"/>
      <c r="C41" s="45" t="s">
        <v>22</v>
      </c>
      <c r="D41" s="35" t="s">
        <v>66</v>
      </c>
      <c r="E41" s="36">
        <f t="shared" si="1"/>
        <v>3</v>
      </c>
      <c r="F41" s="37">
        <v>2</v>
      </c>
      <c r="G41" s="58"/>
      <c r="H41" s="39"/>
      <c r="I41" s="40"/>
      <c r="J41" s="41"/>
      <c r="K41" s="40"/>
      <c r="L41" s="42">
        <v>2</v>
      </c>
      <c r="M41" s="43"/>
      <c r="N41" s="33"/>
      <c r="O41" s="194"/>
      <c r="P41" s="196"/>
      <c r="R41" s="74"/>
      <c r="S41" s="74"/>
      <c r="T41" s="74"/>
    </row>
    <row r="42" spans="1:20" ht="15.65" customHeight="1" x14ac:dyDescent="0.3">
      <c r="A42" s="185" t="s">
        <v>67</v>
      </c>
      <c r="B42" s="22" t="s">
        <v>18</v>
      </c>
      <c r="C42" s="76" t="s">
        <v>51</v>
      </c>
      <c r="D42" s="24" t="s">
        <v>68</v>
      </c>
      <c r="E42" s="77">
        <f t="shared" si="1"/>
        <v>4</v>
      </c>
      <c r="F42" s="78">
        <v>3</v>
      </c>
      <c r="G42" s="79"/>
      <c r="H42" s="80"/>
      <c r="I42" s="209" t="s">
        <v>69</v>
      </c>
      <c r="J42" s="81"/>
      <c r="K42" s="82"/>
      <c r="L42" s="83"/>
      <c r="M42" s="84"/>
      <c r="N42" s="85"/>
      <c r="O42" s="187">
        <v>30</v>
      </c>
      <c r="P42" s="195"/>
      <c r="R42" s="74"/>
      <c r="S42" s="74"/>
      <c r="T42" s="74"/>
    </row>
    <row r="43" spans="1:20" ht="15.65" customHeight="1" x14ac:dyDescent="0.3">
      <c r="A43" s="186"/>
      <c r="B43" s="46" t="s">
        <v>26</v>
      </c>
      <c r="C43" s="86" t="s">
        <v>54</v>
      </c>
      <c r="D43" s="48" t="s">
        <v>70</v>
      </c>
      <c r="E43" s="49">
        <f t="shared" si="1"/>
        <v>4</v>
      </c>
      <c r="F43" s="49">
        <v>3</v>
      </c>
      <c r="G43" s="87"/>
      <c r="H43" s="88"/>
      <c r="I43" s="210"/>
      <c r="J43" s="89"/>
      <c r="K43" s="90"/>
      <c r="L43" s="91"/>
      <c r="M43" s="92"/>
      <c r="N43" s="47"/>
      <c r="O43" s="188"/>
      <c r="P43" s="196"/>
      <c r="R43" s="74"/>
      <c r="S43" s="74"/>
      <c r="T43" s="74"/>
    </row>
    <row r="44" spans="1:20" ht="15.65" customHeight="1" x14ac:dyDescent="0.3">
      <c r="A44" s="186"/>
      <c r="B44" s="46" t="s">
        <v>32</v>
      </c>
      <c r="C44" s="86" t="s">
        <v>54</v>
      </c>
      <c r="D44" s="48" t="s">
        <v>71</v>
      </c>
      <c r="E44" s="49">
        <f t="shared" si="1"/>
        <v>4</v>
      </c>
      <c r="F44" s="51">
        <v>3</v>
      </c>
      <c r="G44" s="93"/>
      <c r="H44" s="88"/>
      <c r="I44" s="210"/>
      <c r="J44" s="89"/>
      <c r="K44" s="90"/>
      <c r="L44" s="91"/>
      <c r="M44" s="92"/>
      <c r="N44" s="47"/>
      <c r="O44" s="188"/>
      <c r="P44" s="196"/>
    </row>
    <row r="45" spans="1:20" ht="15.65" customHeight="1" x14ac:dyDescent="0.3">
      <c r="A45" s="186"/>
      <c r="B45" s="197" t="s">
        <v>38</v>
      </c>
      <c r="C45" s="86" t="s">
        <v>22</v>
      </c>
      <c r="D45" s="48" t="s">
        <v>72</v>
      </c>
      <c r="E45" s="49">
        <f t="shared" si="1"/>
        <v>4</v>
      </c>
      <c r="F45" s="51">
        <v>3</v>
      </c>
      <c r="G45" s="93"/>
      <c r="H45" s="94"/>
      <c r="I45" s="210"/>
      <c r="J45" s="95"/>
      <c r="K45" s="96"/>
      <c r="L45" s="97"/>
      <c r="M45" s="92"/>
      <c r="N45" s="56"/>
      <c r="O45" s="188"/>
      <c r="P45" s="196"/>
    </row>
    <row r="46" spans="1:20" ht="15.65" customHeight="1" x14ac:dyDescent="0.3">
      <c r="A46" s="186"/>
      <c r="B46" s="198"/>
      <c r="C46" s="98" t="s">
        <v>22</v>
      </c>
      <c r="D46" s="35" t="s">
        <v>73</v>
      </c>
      <c r="E46" s="36">
        <f t="shared" si="1"/>
        <v>4</v>
      </c>
      <c r="F46" s="58">
        <v>3</v>
      </c>
      <c r="G46" s="99"/>
      <c r="H46" s="100"/>
      <c r="I46" s="210"/>
      <c r="J46" s="101"/>
      <c r="K46" s="102"/>
      <c r="L46" s="103"/>
      <c r="M46" s="104"/>
      <c r="N46" s="33"/>
      <c r="O46" s="188"/>
      <c r="P46" s="196"/>
    </row>
    <row r="47" spans="1:20" ht="15.65" customHeight="1" x14ac:dyDescent="0.3">
      <c r="A47" s="186"/>
      <c r="B47" s="198"/>
      <c r="C47" s="98" t="s">
        <v>22</v>
      </c>
      <c r="D47" s="35" t="s">
        <v>74</v>
      </c>
      <c r="E47" s="36">
        <f t="shared" si="1"/>
        <v>4</v>
      </c>
      <c r="F47" s="58">
        <v>3</v>
      </c>
      <c r="G47" s="99"/>
      <c r="H47" s="100"/>
      <c r="I47" s="210"/>
      <c r="J47" s="101"/>
      <c r="K47" s="102"/>
      <c r="L47" s="103"/>
      <c r="M47" s="104"/>
      <c r="N47" s="33"/>
      <c r="O47" s="188"/>
      <c r="P47" s="196"/>
    </row>
    <row r="48" spans="1:20" ht="15.65" customHeight="1" x14ac:dyDescent="0.3">
      <c r="A48" s="186"/>
      <c r="B48" s="198"/>
      <c r="C48" s="98" t="s">
        <v>54</v>
      </c>
      <c r="D48" s="35" t="s">
        <v>75</v>
      </c>
      <c r="E48" s="36">
        <f t="shared" si="1"/>
        <v>4</v>
      </c>
      <c r="F48" s="58">
        <v>3</v>
      </c>
      <c r="G48" s="99"/>
      <c r="H48" s="100"/>
      <c r="I48" s="210"/>
      <c r="J48" s="101"/>
      <c r="K48" s="102"/>
      <c r="L48" s="103"/>
      <c r="M48" s="104"/>
      <c r="N48" s="33"/>
      <c r="O48" s="188"/>
      <c r="P48" s="196"/>
    </row>
    <row r="49" spans="1:20" ht="15.65" customHeight="1" x14ac:dyDescent="0.3">
      <c r="A49" s="186"/>
      <c r="B49" s="199"/>
      <c r="C49" s="105" t="s">
        <v>54</v>
      </c>
      <c r="D49" s="62" t="s">
        <v>76</v>
      </c>
      <c r="E49" s="106">
        <f t="shared" si="1"/>
        <v>4</v>
      </c>
      <c r="F49" s="106">
        <v>3</v>
      </c>
      <c r="G49" s="107"/>
      <c r="H49" s="108"/>
      <c r="I49" s="210"/>
      <c r="J49" s="109"/>
      <c r="K49" s="110"/>
      <c r="L49" s="111"/>
      <c r="M49" s="112"/>
      <c r="N49" s="113"/>
      <c r="O49" s="188"/>
      <c r="P49" s="196"/>
    </row>
    <row r="50" spans="1:20" ht="15.65" customHeight="1" x14ac:dyDescent="0.3">
      <c r="A50" s="186"/>
      <c r="B50" s="208" t="s">
        <v>43</v>
      </c>
      <c r="C50" s="86" t="s">
        <v>22</v>
      </c>
      <c r="D50" s="48" t="s">
        <v>77</v>
      </c>
      <c r="E50" s="49">
        <f t="shared" si="1"/>
        <v>4</v>
      </c>
      <c r="F50" s="51">
        <v>3</v>
      </c>
      <c r="G50" s="93"/>
      <c r="H50" s="94"/>
      <c r="I50" s="210"/>
      <c r="J50" s="114"/>
      <c r="K50" s="115"/>
      <c r="L50" s="116"/>
      <c r="M50" s="92"/>
      <c r="N50" s="56"/>
      <c r="O50" s="188"/>
      <c r="P50" s="196"/>
    </row>
    <row r="51" spans="1:20" ht="15.65" customHeight="1" x14ac:dyDescent="0.3">
      <c r="A51" s="186"/>
      <c r="B51" s="198"/>
      <c r="C51" s="98" t="s">
        <v>22</v>
      </c>
      <c r="D51" s="35" t="s">
        <v>78</v>
      </c>
      <c r="E51" s="36">
        <f t="shared" si="1"/>
        <v>4</v>
      </c>
      <c r="F51" s="58">
        <v>3</v>
      </c>
      <c r="G51" s="99"/>
      <c r="H51" s="100"/>
      <c r="I51" s="210"/>
      <c r="J51" s="117"/>
      <c r="K51" s="118"/>
      <c r="L51" s="119"/>
      <c r="M51" s="104"/>
      <c r="N51" s="33"/>
      <c r="O51" s="188"/>
      <c r="P51" s="196"/>
    </row>
    <row r="52" spans="1:20" ht="15.65" customHeight="1" x14ac:dyDescent="0.3">
      <c r="A52" s="186"/>
      <c r="B52" s="198"/>
      <c r="C52" s="98" t="s">
        <v>22</v>
      </c>
      <c r="D52" s="35" t="s">
        <v>79</v>
      </c>
      <c r="E52" s="36">
        <f t="shared" si="1"/>
        <v>4</v>
      </c>
      <c r="F52" s="58">
        <v>3</v>
      </c>
      <c r="G52" s="99"/>
      <c r="H52" s="100"/>
      <c r="I52" s="210"/>
      <c r="J52" s="117"/>
      <c r="K52" s="118"/>
      <c r="L52" s="119"/>
      <c r="M52" s="104"/>
      <c r="N52" s="33"/>
      <c r="O52" s="188"/>
      <c r="P52" s="196"/>
    </row>
    <row r="53" spans="1:20" ht="15.65" customHeight="1" x14ac:dyDescent="0.3">
      <c r="A53" s="186"/>
      <c r="B53" s="208" t="s">
        <v>57</v>
      </c>
      <c r="C53" s="86" t="s">
        <v>54</v>
      </c>
      <c r="D53" s="48" t="s">
        <v>80</v>
      </c>
      <c r="E53" s="49">
        <f t="shared" si="1"/>
        <v>3</v>
      </c>
      <c r="F53" s="50">
        <v>3</v>
      </c>
      <c r="G53" s="120"/>
      <c r="H53" s="94"/>
      <c r="I53" s="210"/>
      <c r="J53" s="89"/>
      <c r="K53" s="90"/>
      <c r="L53" s="121"/>
      <c r="M53" s="92"/>
      <c r="N53" s="56"/>
      <c r="O53" s="188"/>
      <c r="P53" s="196"/>
    </row>
    <row r="54" spans="1:20" ht="15.65" customHeight="1" x14ac:dyDescent="0.3">
      <c r="A54" s="186"/>
      <c r="B54" s="198"/>
      <c r="C54" s="98" t="s">
        <v>54</v>
      </c>
      <c r="D54" s="35" t="s">
        <v>81</v>
      </c>
      <c r="E54" s="36">
        <f t="shared" si="1"/>
        <v>3</v>
      </c>
      <c r="F54" s="58">
        <v>3</v>
      </c>
      <c r="G54" s="122"/>
      <c r="H54" s="100"/>
      <c r="I54" s="210"/>
      <c r="J54" s="123"/>
      <c r="K54" s="124"/>
      <c r="L54" s="125"/>
      <c r="M54" s="104"/>
      <c r="N54" s="33"/>
      <c r="O54" s="188"/>
      <c r="P54" s="196"/>
    </row>
    <row r="55" spans="1:20" ht="15.65" customHeight="1" x14ac:dyDescent="0.3">
      <c r="A55" s="186"/>
      <c r="B55" s="46" t="s">
        <v>82</v>
      </c>
      <c r="C55" s="86" t="s">
        <v>22</v>
      </c>
      <c r="D55" s="48" t="s">
        <v>83</v>
      </c>
      <c r="E55" s="49">
        <f t="shared" si="1"/>
        <v>4</v>
      </c>
      <c r="F55" s="50">
        <v>3</v>
      </c>
      <c r="G55" s="93"/>
      <c r="H55" s="88"/>
      <c r="I55" s="210"/>
      <c r="J55" s="89"/>
      <c r="K55" s="90"/>
      <c r="L55" s="121"/>
      <c r="M55" s="92"/>
      <c r="N55" s="56"/>
      <c r="O55" s="188"/>
      <c r="P55" s="196"/>
    </row>
    <row r="56" spans="1:20" ht="15.65" customHeight="1" x14ac:dyDescent="0.3">
      <c r="A56" s="186"/>
      <c r="B56" s="208" t="s">
        <v>84</v>
      </c>
      <c r="C56" s="86" t="s">
        <v>22</v>
      </c>
      <c r="D56" s="48" t="s">
        <v>85</v>
      </c>
      <c r="E56" s="49">
        <f t="shared" si="1"/>
        <v>4</v>
      </c>
      <c r="F56" s="50">
        <v>3</v>
      </c>
      <c r="G56" s="93"/>
      <c r="H56" s="88"/>
      <c r="I56" s="210"/>
      <c r="J56" s="89"/>
      <c r="K56" s="90"/>
      <c r="L56" s="121"/>
      <c r="M56" s="92"/>
      <c r="N56" s="47"/>
      <c r="O56" s="188"/>
      <c r="P56" s="196"/>
    </row>
    <row r="57" spans="1:20" ht="15.65" customHeight="1" x14ac:dyDescent="0.3">
      <c r="A57" s="186"/>
      <c r="B57" s="198"/>
      <c r="C57" s="98" t="s">
        <v>22</v>
      </c>
      <c r="D57" s="35" t="s">
        <v>86</v>
      </c>
      <c r="E57" s="36">
        <f t="shared" si="1"/>
        <v>4</v>
      </c>
      <c r="F57" s="58">
        <v>3</v>
      </c>
      <c r="G57" s="99"/>
      <c r="H57" s="126"/>
      <c r="I57" s="210"/>
      <c r="J57" s="123"/>
      <c r="K57" s="124"/>
      <c r="L57" s="125"/>
      <c r="M57" s="104"/>
      <c r="N57" s="45"/>
      <c r="O57" s="188"/>
      <c r="P57" s="196"/>
    </row>
    <row r="58" spans="1:20" ht="15.65" customHeight="1" thickBot="1" x14ac:dyDescent="0.35">
      <c r="A58" s="186"/>
      <c r="B58" s="198"/>
      <c r="C58" s="98" t="s">
        <v>22</v>
      </c>
      <c r="D58" s="35" t="s">
        <v>87</v>
      </c>
      <c r="E58" s="36">
        <f t="shared" si="1"/>
        <v>4</v>
      </c>
      <c r="F58" s="57">
        <v>3</v>
      </c>
      <c r="G58" s="99"/>
      <c r="H58" s="126"/>
      <c r="I58" s="210"/>
      <c r="J58" s="123"/>
      <c r="K58" s="124"/>
      <c r="L58" s="125"/>
      <c r="M58" s="104"/>
      <c r="N58" s="33"/>
      <c r="O58" s="188"/>
      <c r="P58" s="196"/>
    </row>
    <row r="59" spans="1:20" ht="15.65" customHeight="1" x14ac:dyDescent="0.3">
      <c r="A59" s="186"/>
      <c r="B59" s="22" t="s">
        <v>18</v>
      </c>
      <c r="C59" s="76" t="s">
        <v>54</v>
      </c>
      <c r="D59" s="24" t="s">
        <v>88</v>
      </c>
      <c r="E59" s="77">
        <f t="shared" si="1"/>
        <v>4</v>
      </c>
      <c r="F59" s="78">
        <v>3</v>
      </c>
      <c r="G59" s="79"/>
      <c r="H59" s="80"/>
      <c r="I59" s="82"/>
      <c r="J59" s="200" t="s">
        <v>69</v>
      </c>
      <c r="K59" s="82"/>
      <c r="L59" s="83"/>
      <c r="M59" s="84"/>
      <c r="N59" s="127"/>
      <c r="O59" s="188"/>
      <c r="P59" s="196"/>
      <c r="R59" s="74"/>
      <c r="S59" s="74"/>
      <c r="T59" s="74"/>
    </row>
    <row r="60" spans="1:20" ht="15.65" customHeight="1" x14ac:dyDescent="0.3">
      <c r="A60" s="186"/>
      <c r="B60" s="46" t="s">
        <v>26</v>
      </c>
      <c r="C60" s="86" t="s">
        <v>54</v>
      </c>
      <c r="D60" s="48" t="s">
        <v>89</v>
      </c>
      <c r="E60" s="49">
        <f t="shared" si="1"/>
        <v>4</v>
      </c>
      <c r="F60" s="59">
        <v>3</v>
      </c>
      <c r="G60" s="93"/>
      <c r="H60" s="88"/>
      <c r="I60" s="90"/>
      <c r="J60" s="201"/>
      <c r="K60" s="90"/>
      <c r="L60" s="91"/>
      <c r="M60" s="92"/>
      <c r="N60" s="47"/>
      <c r="O60" s="188"/>
      <c r="P60" s="196"/>
    </row>
    <row r="61" spans="1:20" ht="15.65" customHeight="1" x14ac:dyDescent="0.3">
      <c r="A61" s="186"/>
      <c r="B61" s="46" t="s">
        <v>32</v>
      </c>
      <c r="C61" s="86" t="s">
        <v>54</v>
      </c>
      <c r="D61" s="48" t="s">
        <v>90</v>
      </c>
      <c r="E61" s="49">
        <f t="shared" si="1"/>
        <v>4</v>
      </c>
      <c r="F61" s="59">
        <v>3</v>
      </c>
      <c r="G61" s="93"/>
      <c r="H61" s="88"/>
      <c r="I61" s="90"/>
      <c r="J61" s="201"/>
      <c r="K61" s="90"/>
      <c r="L61" s="91"/>
      <c r="M61" s="92"/>
      <c r="N61" s="56"/>
      <c r="O61" s="188"/>
      <c r="P61" s="196"/>
    </row>
    <row r="62" spans="1:20" ht="15.65" customHeight="1" x14ac:dyDescent="0.3">
      <c r="A62" s="186"/>
      <c r="B62" s="197" t="s">
        <v>38</v>
      </c>
      <c r="C62" s="86" t="s">
        <v>54</v>
      </c>
      <c r="D62" s="48" t="s">
        <v>91</v>
      </c>
      <c r="E62" s="49">
        <f t="shared" si="1"/>
        <v>4</v>
      </c>
      <c r="F62" s="59">
        <v>3</v>
      </c>
      <c r="G62" s="93"/>
      <c r="H62" s="94"/>
      <c r="I62" s="96"/>
      <c r="J62" s="201"/>
      <c r="K62" s="96"/>
      <c r="L62" s="97"/>
      <c r="M62" s="92"/>
      <c r="N62" s="47"/>
      <c r="O62" s="188"/>
      <c r="P62" s="196"/>
    </row>
    <row r="63" spans="1:20" ht="15.65" customHeight="1" x14ac:dyDescent="0.3">
      <c r="A63" s="186"/>
      <c r="B63" s="198"/>
      <c r="C63" s="98" t="s">
        <v>54</v>
      </c>
      <c r="D63" s="35" t="s">
        <v>92</v>
      </c>
      <c r="E63" s="36">
        <f t="shared" si="1"/>
        <v>4</v>
      </c>
      <c r="F63" s="37">
        <v>3</v>
      </c>
      <c r="G63" s="99"/>
      <c r="H63" s="100"/>
      <c r="I63" s="102"/>
      <c r="J63" s="201"/>
      <c r="K63" s="102"/>
      <c r="L63" s="103"/>
      <c r="M63" s="104"/>
      <c r="N63" s="33"/>
      <c r="O63" s="188"/>
      <c r="P63" s="196"/>
    </row>
    <row r="64" spans="1:20" ht="15.65" customHeight="1" x14ac:dyDescent="0.3">
      <c r="A64" s="186"/>
      <c r="B64" s="198"/>
      <c r="C64" s="98" t="s">
        <v>54</v>
      </c>
      <c r="D64" s="35" t="s">
        <v>93</v>
      </c>
      <c r="E64" s="36">
        <f t="shared" si="1"/>
        <v>4</v>
      </c>
      <c r="F64" s="37">
        <v>3</v>
      </c>
      <c r="G64" s="99"/>
      <c r="H64" s="100"/>
      <c r="I64" s="102"/>
      <c r="J64" s="201"/>
      <c r="K64" s="102"/>
      <c r="L64" s="103"/>
      <c r="M64" s="104"/>
      <c r="N64" s="33"/>
      <c r="O64" s="188"/>
      <c r="P64" s="196"/>
    </row>
    <row r="65" spans="1:16" ht="15.65" customHeight="1" x14ac:dyDescent="0.3">
      <c r="A65" s="186"/>
      <c r="B65" s="198"/>
      <c r="C65" s="98" t="s">
        <v>54</v>
      </c>
      <c r="D65" s="35" t="s">
        <v>94</v>
      </c>
      <c r="E65" s="63">
        <f t="shared" si="1"/>
        <v>4</v>
      </c>
      <c r="F65" s="26">
        <v>3</v>
      </c>
      <c r="G65" s="99"/>
      <c r="H65" s="100"/>
      <c r="I65" s="102"/>
      <c r="J65" s="201"/>
      <c r="K65" s="102"/>
      <c r="L65" s="103"/>
      <c r="M65" s="104"/>
      <c r="N65" s="33"/>
      <c r="O65" s="188"/>
      <c r="P65" s="196"/>
    </row>
    <row r="66" spans="1:16" ht="15.65" customHeight="1" x14ac:dyDescent="0.3">
      <c r="A66" s="186"/>
      <c r="B66" s="198"/>
      <c r="C66" s="98" t="s">
        <v>22</v>
      </c>
      <c r="D66" s="35" t="s">
        <v>95</v>
      </c>
      <c r="E66" s="36">
        <f t="shared" si="1"/>
        <v>4</v>
      </c>
      <c r="F66" s="37">
        <v>3</v>
      </c>
      <c r="G66" s="99"/>
      <c r="H66" s="100"/>
      <c r="I66" s="102"/>
      <c r="J66" s="201"/>
      <c r="K66" s="102"/>
      <c r="L66" s="103"/>
      <c r="M66" s="104"/>
      <c r="N66" s="33"/>
      <c r="O66" s="188"/>
      <c r="P66" s="196"/>
    </row>
    <row r="67" spans="1:16" ht="15.65" customHeight="1" x14ac:dyDescent="0.3">
      <c r="A67" s="186"/>
      <c r="B67" s="199"/>
      <c r="C67" s="105" t="s">
        <v>54</v>
      </c>
      <c r="D67" s="62" t="s">
        <v>96</v>
      </c>
      <c r="E67" s="106">
        <f t="shared" si="1"/>
        <v>4</v>
      </c>
      <c r="F67" s="106">
        <v>3</v>
      </c>
      <c r="G67" s="130"/>
      <c r="H67" s="131"/>
      <c r="I67" s="132"/>
      <c r="J67" s="201"/>
      <c r="K67" s="133"/>
      <c r="L67" s="134"/>
      <c r="M67" s="135"/>
      <c r="N67" s="113"/>
      <c r="O67" s="188"/>
      <c r="P67" s="196"/>
    </row>
    <row r="68" spans="1:16" ht="15.65" customHeight="1" x14ac:dyDescent="0.3">
      <c r="A68" s="186"/>
      <c r="B68" s="208" t="s">
        <v>43</v>
      </c>
      <c r="C68" s="86" t="s">
        <v>54</v>
      </c>
      <c r="D68" s="48" t="s">
        <v>97</v>
      </c>
      <c r="E68" s="49">
        <f t="shared" si="1"/>
        <v>4</v>
      </c>
      <c r="F68" s="59">
        <v>3</v>
      </c>
      <c r="G68" s="93"/>
      <c r="H68" s="94"/>
      <c r="I68" s="90"/>
      <c r="J68" s="201"/>
      <c r="K68" s="115"/>
      <c r="L68" s="116"/>
      <c r="M68" s="92"/>
      <c r="N68" s="56"/>
      <c r="O68" s="188"/>
      <c r="P68" s="196"/>
    </row>
    <row r="69" spans="1:16" ht="15.65" customHeight="1" x14ac:dyDescent="0.3">
      <c r="A69" s="186"/>
      <c r="B69" s="198"/>
      <c r="C69" s="98" t="s">
        <v>54</v>
      </c>
      <c r="D69" s="35" t="s">
        <v>98</v>
      </c>
      <c r="E69" s="36">
        <f t="shared" si="1"/>
        <v>4</v>
      </c>
      <c r="F69" s="37">
        <v>3</v>
      </c>
      <c r="G69" s="99"/>
      <c r="H69" s="100"/>
      <c r="I69" s="124"/>
      <c r="J69" s="201"/>
      <c r="K69" s="118"/>
      <c r="L69" s="119"/>
      <c r="M69" s="104"/>
      <c r="N69" s="33"/>
      <c r="O69" s="188"/>
      <c r="P69" s="196"/>
    </row>
    <row r="70" spans="1:16" ht="15.65" customHeight="1" x14ac:dyDescent="0.3">
      <c r="A70" s="186"/>
      <c r="B70" s="198"/>
      <c r="C70" s="98" t="s">
        <v>54</v>
      </c>
      <c r="D70" s="35" t="s">
        <v>99</v>
      </c>
      <c r="E70" s="36">
        <f t="shared" si="1"/>
        <v>4</v>
      </c>
      <c r="F70" s="37">
        <v>3</v>
      </c>
      <c r="G70" s="99"/>
      <c r="H70" s="100"/>
      <c r="I70" s="124"/>
      <c r="J70" s="201"/>
      <c r="K70" s="118"/>
      <c r="L70" s="119"/>
      <c r="M70" s="104"/>
      <c r="N70" s="33"/>
      <c r="O70" s="188"/>
      <c r="P70" s="196"/>
    </row>
    <row r="71" spans="1:16" ht="15.65" customHeight="1" x14ac:dyDescent="0.3">
      <c r="A71" s="186"/>
      <c r="B71" s="198"/>
      <c r="C71" s="98" t="s">
        <v>22</v>
      </c>
      <c r="D71" s="35" t="s">
        <v>100</v>
      </c>
      <c r="E71" s="36">
        <f t="shared" ref="E71:E102" si="2">IFERROR(VLOOKUP(D71, 기본학점, 2, FALSE), "")</f>
        <v>4</v>
      </c>
      <c r="F71" s="37">
        <v>3</v>
      </c>
      <c r="G71" s="99"/>
      <c r="H71" s="100"/>
      <c r="I71" s="124"/>
      <c r="J71" s="201"/>
      <c r="K71" s="118"/>
      <c r="L71" s="119"/>
      <c r="M71" s="104"/>
      <c r="N71" s="33"/>
      <c r="O71" s="188"/>
      <c r="P71" s="196"/>
    </row>
    <row r="72" spans="1:16" ht="15.65" customHeight="1" x14ac:dyDescent="0.3">
      <c r="A72" s="186"/>
      <c r="B72" s="208" t="s">
        <v>57</v>
      </c>
      <c r="C72" s="86" t="s">
        <v>54</v>
      </c>
      <c r="D72" s="48" t="s">
        <v>101</v>
      </c>
      <c r="E72" s="49">
        <f t="shared" si="2"/>
        <v>3</v>
      </c>
      <c r="F72" s="50">
        <v>3</v>
      </c>
      <c r="G72" s="93"/>
      <c r="H72" s="94"/>
      <c r="I72" s="90"/>
      <c r="J72" s="201"/>
      <c r="K72" s="90"/>
      <c r="L72" s="121"/>
      <c r="M72" s="92"/>
      <c r="N72" s="47"/>
      <c r="O72" s="188"/>
      <c r="P72" s="196"/>
    </row>
    <row r="73" spans="1:16" ht="15.65" customHeight="1" x14ac:dyDescent="0.3">
      <c r="A73" s="186"/>
      <c r="B73" s="198"/>
      <c r="C73" s="98" t="s">
        <v>54</v>
      </c>
      <c r="D73" s="35" t="s">
        <v>102</v>
      </c>
      <c r="E73" s="36">
        <f t="shared" si="2"/>
        <v>3</v>
      </c>
      <c r="F73" s="37">
        <v>3</v>
      </c>
      <c r="G73" s="99"/>
      <c r="H73" s="100"/>
      <c r="I73" s="124"/>
      <c r="J73" s="201"/>
      <c r="K73" s="124"/>
      <c r="L73" s="125"/>
      <c r="M73" s="104"/>
      <c r="N73" s="33"/>
      <c r="O73" s="188"/>
      <c r="P73" s="196"/>
    </row>
    <row r="74" spans="1:16" ht="15.65" customHeight="1" x14ac:dyDescent="0.3">
      <c r="A74" s="186"/>
      <c r="B74" s="46" t="s">
        <v>82</v>
      </c>
      <c r="C74" s="86" t="s">
        <v>54</v>
      </c>
      <c r="D74" s="48" t="s">
        <v>103</v>
      </c>
      <c r="E74" s="49">
        <f t="shared" si="2"/>
        <v>4</v>
      </c>
      <c r="F74" s="59">
        <v>3</v>
      </c>
      <c r="G74" s="93"/>
      <c r="H74" s="88"/>
      <c r="I74" s="90"/>
      <c r="J74" s="201"/>
      <c r="K74" s="90"/>
      <c r="L74" s="121"/>
      <c r="M74" s="92"/>
      <c r="N74" s="47"/>
      <c r="O74" s="188"/>
      <c r="P74" s="196"/>
    </row>
    <row r="75" spans="1:16" ht="15.65" customHeight="1" x14ac:dyDescent="0.3">
      <c r="A75" s="186"/>
      <c r="B75" s="208" t="s">
        <v>84</v>
      </c>
      <c r="C75" s="86" t="s">
        <v>54</v>
      </c>
      <c r="D75" s="48" t="s">
        <v>104</v>
      </c>
      <c r="E75" s="49">
        <f t="shared" si="2"/>
        <v>4</v>
      </c>
      <c r="F75" s="50">
        <v>3</v>
      </c>
      <c r="G75" s="93"/>
      <c r="H75" s="88"/>
      <c r="I75" s="90"/>
      <c r="J75" s="201"/>
      <c r="K75" s="90"/>
      <c r="L75" s="121"/>
      <c r="M75" s="92"/>
      <c r="N75" s="47"/>
      <c r="O75" s="188"/>
      <c r="P75" s="196"/>
    </row>
    <row r="76" spans="1:16" ht="15.65" customHeight="1" x14ac:dyDescent="0.3">
      <c r="A76" s="186"/>
      <c r="B76" s="198"/>
      <c r="C76" s="98" t="s">
        <v>54</v>
      </c>
      <c r="D76" s="35" t="s">
        <v>105</v>
      </c>
      <c r="E76" s="36">
        <f t="shared" si="2"/>
        <v>4</v>
      </c>
      <c r="F76" s="36">
        <v>3</v>
      </c>
      <c r="G76" s="99"/>
      <c r="H76" s="126"/>
      <c r="I76" s="124"/>
      <c r="J76" s="201"/>
      <c r="K76" s="124"/>
      <c r="L76" s="125"/>
      <c r="M76" s="104"/>
      <c r="N76" s="33"/>
      <c r="O76" s="188"/>
      <c r="P76" s="196"/>
    </row>
    <row r="77" spans="1:16" ht="15.65" customHeight="1" thickBot="1" x14ac:dyDescent="0.35">
      <c r="A77" s="186"/>
      <c r="B77" s="198"/>
      <c r="C77" s="98" t="s">
        <v>54</v>
      </c>
      <c r="D77" s="35" t="s">
        <v>106</v>
      </c>
      <c r="E77" s="36">
        <f t="shared" si="2"/>
        <v>4</v>
      </c>
      <c r="F77" s="37">
        <v>3</v>
      </c>
      <c r="G77" s="99"/>
      <c r="H77" s="126"/>
      <c r="I77" s="124"/>
      <c r="J77" s="201"/>
      <c r="K77" s="124"/>
      <c r="L77" s="125"/>
      <c r="M77" s="104"/>
      <c r="N77" s="33"/>
      <c r="O77" s="188"/>
      <c r="P77" s="196"/>
    </row>
    <row r="78" spans="1:16" ht="15.65" customHeight="1" x14ac:dyDescent="0.3">
      <c r="A78" s="185" t="s">
        <v>107</v>
      </c>
      <c r="B78" s="22" t="s">
        <v>18</v>
      </c>
      <c r="C78" s="76" t="s">
        <v>54</v>
      </c>
      <c r="D78" s="24" t="s">
        <v>108</v>
      </c>
      <c r="E78" s="78">
        <f t="shared" si="2"/>
        <v>4</v>
      </c>
      <c r="F78" s="136">
        <v>3</v>
      </c>
      <c r="G78" s="137"/>
      <c r="H78" s="80"/>
      <c r="I78" s="82"/>
      <c r="J78" s="83"/>
      <c r="K78" s="242" t="s">
        <v>69</v>
      </c>
      <c r="L78" s="138"/>
      <c r="M78" s="84"/>
      <c r="N78" s="85"/>
      <c r="O78" s="211">
        <v>39</v>
      </c>
      <c r="P78" s="251"/>
    </row>
    <row r="79" spans="1:16" ht="15.65" customHeight="1" x14ac:dyDescent="0.3">
      <c r="A79" s="186"/>
      <c r="B79" s="208" t="s">
        <v>26</v>
      </c>
      <c r="C79" s="86" t="s">
        <v>54</v>
      </c>
      <c r="D79" s="48" t="s">
        <v>109</v>
      </c>
      <c r="E79" s="49">
        <f t="shared" si="2"/>
        <v>4</v>
      </c>
      <c r="F79" s="50">
        <v>3</v>
      </c>
      <c r="G79" s="93"/>
      <c r="H79" s="88"/>
      <c r="I79" s="90"/>
      <c r="J79" s="91"/>
      <c r="K79" s="210"/>
      <c r="L79" s="121"/>
      <c r="M79" s="92"/>
      <c r="N79" s="56"/>
      <c r="O79" s="193"/>
      <c r="P79" s="196"/>
    </row>
    <row r="80" spans="1:16" ht="15.65" customHeight="1" x14ac:dyDescent="0.3">
      <c r="A80" s="186"/>
      <c r="B80" s="198"/>
      <c r="C80" s="98" t="s">
        <v>54</v>
      </c>
      <c r="D80" s="35" t="s">
        <v>110</v>
      </c>
      <c r="E80" s="36">
        <f t="shared" si="2"/>
        <v>4</v>
      </c>
      <c r="F80" s="37">
        <v>3</v>
      </c>
      <c r="G80" s="99"/>
      <c r="H80" s="126"/>
      <c r="I80" s="124"/>
      <c r="J80" s="140"/>
      <c r="K80" s="210"/>
      <c r="L80" s="125"/>
      <c r="M80" s="104"/>
      <c r="N80" s="33"/>
      <c r="O80" s="193"/>
      <c r="P80" s="196"/>
    </row>
    <row r="81" spans="1:16" ht="15.65" customHeight="1" x14ac:dyDescent="0.3">
      <c r="A81" s="186"/>
      <c r="B81" s="46" t="s">
        <v>32</v>
      </c>
      <c r="C81" s="86" t="s">
        <v>54</v>
      </c>
      <c r="D81" s="48" t="s">
        <v>111</v>
      </c>
      <c r="E81" s="49">
        <f t="shared" si="2"/>
        <v>4</v>
      </c>
      <c r="F81" s="50">
        <v>3</v>
      </c>
      <c r="G81" s="93"/>
      <c r="H81" s="88"/>
      <c r="I81" s="90"/>
      <c r="J81" s="91"/>
      <c r="K81" s="210"/>
      <c r="L81" s="121"/>
      <c r="M81" s="92"/>
      <c r="N81" s="56"/>
      <c r="O81" s="193"/>
      <c r="P81" s="196"/>
    </row>
    <row r="82" spans="1:16" ht="15.65" customHeight="1" x14ac:dyDescent="0.3">
      <c r="A82" s="186"/>
      <c r="B82" s="208" t="s">
        <v>38</v>
      </c>
      <c r="C82" s="86" t="s">
        <v>51</v>
      </c>
      <c r="D82" s="48" t="s">
        <v>112</v>
      </c>
      <c r="E82" s="49">
        <f t="shared" si="2"/>
        <v>4</v>
      </c>
      <c r="F82" s="59">
        <v>3</v>
      </c>
      <c r="G82" s="93"/>
      <c r="H82" s="94"/>
      <c r="I82" s="96"/>
      <c r="J82" s="97"/>
      <c r="K82" s="210"/>
      <c r="L82" s="88"/>
      <c r="M82" s="92"/>
      <c r="N82" s="56"/>
      <c r="O82" s="193"/>
      <c r="P82" s="196"/>
    </row>
    <row r="83" spans="1:16" ht="15.65" customHeight="1" x14ac:dyDescent="0.3">
      <c r="A83" s="186"/>
      <c r="B83" s="198"/>
      <c r="C83" s="98" t="s">
        <v>51</v>
      </c>
      <c r="D83" s="35" t="s">
        <v>113</v>
      </c>
      <c r="E83" s="36">
        <f t="shared" si="2"/>
        <v>4</v>
      </c>
      <c r="F83" s="37">
        <v>3</v>
      </c>
      <c r="G83" s="99"/>
      <c r="H83" s="100"/>
      <c r="I83" s="102"/>
      <c r="J83" s="103"/>
      <c r="K83" s="210"/>
      <c r="L83" s="126"/>
      <c r="M83" s="104"/>
      <c r="N83" s="33"/>
      <c r="O83" s="193"/>
      <c r="P83" s="196"/>
    </row>
    <row r="84" spans="1:16" ht="15.65" customHeight="1" x14ac:dyDescent="0.3">
      <c r="A84" s="186"/>
      <c r="B84" s="198"/>
      <c r="C84" s="98" t="s">
        <v>54</v>
      </c>
      <c r="D84" s="35" t="s">
        <v>114</v>
      </c>
      <c r="E84" s="36">
        <f t="shared" si="2"/>
        <v>4</v>
      </c>
      <c r="F84" s="37">
        <v>3</v>
      </c>
      <c r="G84" s="99"/>
      <c r="H84" s="100"/>
      <c r="I84" s="102"/>
      <c r="J84" s="103"/>
      <c r="K84" s="210"/>
      <c r="L84" s="126"/>
      <c r="M84" s="104"/>
      <c r="N84" s="33"/>
      <c r="O84" s="193"/>
      <c r="P84" s="196"/>
    </row>
    <row r="85" spans="1:16" ht="15.65" customHeight="1" x14ac:dyDescent="0.3">
      <c r="A85" s="186"/>
      <c r="B85" s="198"/>
      <c r="C85" s="98" t="s">
        <v>51</v>
      </c>
      <c r="D85" s="35" t="s">
        <v>115</v>
      </c>
      <c r="E85" s="36">
        <f t="shared" si="2"/>
        <v>4</v>
      </c>
      <c r="F85" s="37">
        <v>3</v>
      </c>
      <c r="G85" s="99"/>
      <c r="H85" s="100"/>
      <c r="I85" s="102"/>
      <c r="J85" s="103"/>
      <c r="K85" s="210"/>
      <c r="L85" s="126"/>
      <c r="M85" s="104"/>
      <c r="N85" s="33"/>
      <c r="O85" s="193"/>
      <c r="P85" s="196"/>
    </row>
    <row r="86" spans="1:16" ht="15.65" customHeight="1" x14ac:dyDescent="0.3">
      <c r="A86" s="186"/>
      <c r="B86" s="197" t="s">
        <v>43</v>
      </c>
      <c r="C86" s="86" t="s">
        <v>54</v>
      </c>
      <c r="D86" s="48" t="s">
        <v>116</v>
      </c>
      <c r="E86" s="49">
        <f t="shared" si="2"/>
        <v>4</v>
      </c>
      <c r="F86" s="59">
        <v>3</v>
      </c>
      <c r="G86" s="93"/>
      <c r="H86" s="94"/>
      <c r="I86" s="141"/>
      <c r="J86" s="142"/>
      <c r="K86" s="210"/>
      <c r="L86" s="116"/>
      <c r="M86" s="92"/>
      <c r="N86" s="56"/>
      <c r="O86" s="193"/>
      <c r="P86" s="196"/>
    </row>
    <row r="87" spans="1:16" ht="15.65" customHeight="1" x14ac:dyDescent="0.3">
      <c r="A87" s="186"/>
      <c r="B87" s="198"/>
      <c r="C87" s="98" t="s">
        <v>54</v>
      </c>
      <c r="D87" s="35" t="s">
        <v>117</v>
      </c>
      <c r="E87" s="36">
        <f t="shared" si="2"/>
        <v>4</v>
      </c>
      <c r="F87" s="37">
        <v>3</v>
      </c>
      <c r="G87" s="99"/>
      <c r="H87" s="100"/>
      <c r="I87" s="143"/>
      <c r="J87" s="144"/>
      <c r="K87" s="210"/>
      <c r="L87" s="119"/>
      <c r="M87" s="104"/>
      <c r="N87" s="33"/>
      <c r="O87" s="193"/>
      <c r="P87" s="196"/>
    </row>
    <row r="88" spans="1:16" ht="15.65" customHeight="1" x14ac:dyDescent="0.3">
      <c r="A88" s="186"/>
      <c r="B88" s="198"/>
      <c r="C88" s="98" t="s">
        <v>54</v>
      </c>
      <c r="D88" s="35" t="s">
        <v>118</v>
      </c>
      <c r="E88" s="36">
        <f t="shared" si="2"/>
        <v>4</v>
      </c>
      <c r="F88" s="37">
        <v>3</v>
      </c>
      <c r="G88" s="122"/>
      <c r="H88" s="126"/>
      <c r="I88" s="124"/>
      <c r="J88" s="140"/>
      <c r="K88" s="210"/>
      <c r="L88" s="125"/>
      <c r="M88" s="104"/>
      <c r="N88" s="33"/>
      <c r="O88" s="193"/>
      <c r="P88" s="196"/>
    </row>
    <row r="89" spans="1:16" ht="15.65" customHeight="1" x14ac:dyDescent="0.3">
      <c r="A89" s="186"/>
      <c r="B89" s="199"/>
      <c r="C89" s="145" t="s">
        <v>54</v>
      </c>
      <c r="D89" s="62" t="s">
        <v>119</v>
      </c>
      <c r="E89" s="106">
        <f t="shared" si="2"/>
        <v>4</v>
      </c>
      <c r="F89" s="146">
        <v>3</v>
      </c>
      <c r="G89" s="147"/>
      <c r="H89" s="148"/>
      <c r="I89" s="5"/>
      <c r="J89" s="149"/>
      <c r="K89" s="210"/>
      <c r="L89" s="149"/>
      <c r="M89" s="112"/>
      <c r="N89" s="150"/>
      <c r="O89" s="193"/>
      <c r="P89" s="196"/>
    </row>
    <row r="90" spans="1:16" ht="15.65" customHeight="1" x14ac:dyDescent="0.3">
      <c r="A90" s="186"/>
      <c r="B90" s="46" t="s">
        <v>82</v>
      </c>
      <c r="C90" s="86" t="s">
        <v>54</v>
      </c>
      <c r="D90" s="48" t="s">
        <v>120</v>
      </c>
      <c r="E90" s="49">
        <f t="shared" si="2"/>
        <v>4</v>
      </c>
      <c r="F90" s="59">
        <v>3</v>
      </c>
      <c r="G90" s="120"/>
      <c r="H90" s="88"/>
      <c r="I90" s="90"/>
      <c r="J90" s="91"/>
      <c r="K90" s="210"/>
      <c r="L90" s="121"/>
      <c r="M90" s="92"/>
      <c r="N90" s="47"/>
      <c r="O90" s="193"/>
      <c r="P90" s="196"/>
    </row>
    <row r="91" spans="1:16" ht="15.65" customHeight="1" x14ac:dyDescent="0.3">
      <c r="A91" s="186"/>
      <c r="B91" s="208" t="s">
        <v>84</v>
      </c>
      <c r="C91" s="86" t="s">
        <v>51</v>
      </c>
      <c r="D91" s="48" t="s">
        <v>121</v>
      </c>
      <c r="E91" s="49">
        <f t="shared" si="2"/>
        <v>4</v>
      </c>
      <c r="F91" s="50">
        <v>3</v>
      </c>
      <c r="G91" s="93"/>
      <c r="H91" s="88"/>
      <c r="I91" s="90"/>
      <c r="J91" s="91"/>
      <c r="K91" s="210"/>
      <c r="L91" s="121"/>
      <c r="M91" s="92"/>
      <c r="N91" s="47"/>
      <c r="O91" s="193"/>
      <c r="P91" s="196"/>
    </row>
    <row r="92" spans="1:16" ht="15.65" customHeight="1" x14ac:dyDescent="0.3">
      <c r="A92" s="186"/>
      <c r="B92" s="198"/>
      <c r="C92" s="98" t="s">
        <v>51</v>
      </c>
      <c r="D92" s="35" t="s">
        <v>122</v>
      </c>
      <c r="E92" s="36">
        <f t="shared" si="2"/>
        <v>4</v>
      </c>
      <c r="F92" s="37">
        <v>3</v>
      </c>
      <c r="G92" s="99"/>
      <c r="H92" s="126"/>
      <c r="I92" s="124"/>
      <c r="J92" s="140"/>
      <c r="K92" s="210"/>
      <c r="L92" s="125"/>
      <c r="M92" s="104"/>
      <c r="N92" s="33"/>
      <c r="O92" s="193"/>
      <c r="P92" s="196"/>
    </row>
    <row r="93" spans="1:16" ht="15.65" customHeight="1" x14ac:dyDescent="0.3">
      <c r="A93" s="186"/>
      <c r="B93" s="198"/>
      <c r="C93" s="98" t="s">
        <v>51</v>
      </c>
      <c r="D93" s="35" t="s">
        <v>123</v>
      </c>
      <c r="E93" s="36">
        <f t="shared" si="2"/>
        <v>4</v>
      </c>
      <c r="F93" s="37">
        <v>3</v>
      </c>
      <c r="G93" s="99"/>
      <c r="H93" s="126"/>
      <c r="I93" s="124"/>
      <c r="J93" s="140"/>
      <c r="K93" s="210"/>
      <c r="L93" s="125"/>
      <c r="M93" s="104"/>
      <c r="N93" s="33"/>
      <c r="O93" s="193"/>
      <c r="P93" s="196"/>
    </row>
    <row r="94" spans="1:16" ht="15.65" customHeight="1" x14ac:dyDescent="0.3">
      <c r="A94" s="186"/>
      <c r="B94" s="208" t="s">
        <v>64</v>
      </c>
      <c r="C94" s="86" t="s">
        <v>54</v>
      </c>
      <c r="D94" s="48" t="s">
        <v>124</v>
      </c>
      <c r="E94" s="49">
        <f t="shared" si="2"/>
        <v>3</v>
      </c>
      <c r="F94" s="50">
        <v>3</v>
      </c>
      <c r="G94" s="93"/>
      <c r="H94" s="88"/>
      <c r="I94" s="90"/>
      <c r="J94" s="91"/>
      <c r="K94" s="210"/>
      <c r="L94" s="121"/>
      <c r="M94" s="92"/>
      <c r="N94" s="56"/>
      <c r="O94" s="193"/>
      <c r="P94" s="196"/>
    </row>
    <row r="95" spans="1:16" ht="15.65" customHeight="1" thickBot="1" x14ac:dyDescent="0.35">
      <c r="A95" s="186"/>
      <c r="B95" s="198"/>
      <c r="C95" s="98" t="s">
        <v>54</v>
      </c>
      <c r="D95" s="35" t="s">
        <v>125</v>
      </c>
      <c r="E95" s="36">
        <f t="shared" si="2"/>
        <v>3</v>
      </c>
      <c r="F95" s="57">
        <v>3</v>
      </c>
      <c r="G95" s="99"/>
      <c r="H95" s="126"/>
      <c r="I95" s="124"/>
      <c r="J95" s="140"/>
      <c r="K95" s="210"/>
      <c r="L95" s="125"/>
      <c r="M95" s="104"/>
      <c r="N95" s="33"/>
      <c r="O95" s="193"/>
      <c r="P95" s="196"/>
    </row>
    <row r="96" spans="1:16" ht="15.65" customHeight="1" x14ac:dyDescent="0.3">
      <c r="A96" s="186"/>
      <c r="B96" s="22" t="s">
        <v>18</v>
      </c>
      <c r="C96" s="76" t="s">
        <v>51</v>
      </c>
      <c r="D96" s="24" t="s">
        <v>126</v>
      </c>
      <c r="E96" s="78">
        <f t="shared" si="2"/>
        <v>4</v>
      </c>
      <c r="F96" s="78">
        <v>3</v>
      </c>
      <c r="G96" s="137"/>
      <c r="H96" s="80"/>
      <c r="I96" s="151"/>
      <c r="J96" s="83"/>
      <c r="K96" s="82"/>
      <c r="L96" s="212" t="s">
        <v>127</v>
      </c>
      <c r="M96" s="84"/>
      <c r="N96" s="85"/>
      <c r="O96" s="193"/>
      <c r="P96" s="196"/>
    </row>
    <row r="97" spans="1:17" ht="15.65" customHeight="1" x14ac:dyDescent="0.3">
      <c r="A97" s="186"/>
      <c r="B97" s="208" t="s">
        <v>26</v>
      </c>
      <c r="C97" s="86" t="s">
        <v>51</v>
      </c>
      <c r="D97" s="48" t="s">
        <v>128</v>
      </c>
      <c r="E97" s="49">
        <f t="shared" si="2"/>
        <v>4</v>
      </c>
      <c r="F97" s="50">
        <v>3</v>
      </c>
      <c r="G97" s="93"/>
      <c r="H97" s="88"/>
      <c r="I97" s="152"/>
      <c r="J97" s="91"/>
      <c r="K97" s="90"/>
      <c r="L97" s="201"/>
      <c r="M97" s="92"/>
      <c r="N97" s="56"/>
      <c r="O97" s="193"/>
      <c r="P97" s="196"/>
    </row>
    <row r="98" spans="1:17" ht="15.65" customHeight="1" x14ac:dyDescent="0.3">
      <c r="A98" s="186"/>
      <c r="B98" s="198"/>
      <c r="C98" s="98" t="s">
        <v>51</v>
      </c>
      <c r="D98" s="35" t="s">
        <v>129</v>
      </c>
      <c r="E98" s="36">
        <f t="shared" si="2"/>
        <v>4</v>
      </c>
      <c r="F98" s="37">
        <v>3</v>
      </c>
      <c r="G98" s="99"/>
      <c r="H98" s="126"/>
      <c r="I98" s="154"/>
      <c r="J98" s="140"/>
      <c r="K98" s="124"/>
      <c r="L98" s="201"/>
      <c r="M98" s="104"/>
      <c r="N98" s="33"/>
      <c r="O98" s="193"/>
      <c r="P98" s="196"/>
    </row>
    <row r="99" spans="1:17" ht="15.65" customHeight="1" x14ac:dyDescent="0.3">
      <c r="A99" s="186"/>
      <c r="B99" s="208" t="s">
        <v>32</v>
      </c>
      <c r="C99" s="86" t="s">
        <v>54</v>
      </c>
      <c r="D99" s="48" t="s">
        <v>130</v>
      </c>
      <c r="E99" s="49">
        <f t="shared" si="2"/>
        <v>4</v>
      </c>
      <c r="F99" s="50">
        <v>3</v>
      </c>
      <c r="G99" s="93"/>
      <c r="H99" s="88"/>
      <c r="I99" s="115"/>
      <c r="J99" s="121"/>
      <c r="K99" s="90"/>
      <c r="L99" s="201"/>
      <c r="M99" s="92"/>
      <c r="N99" s="47"/>
      <c r="O99" s="193"/>
      <c r="P99" s="196"/>
    </row>
    <row r="100" spans="1:17" ht="15.65" customHeight="1" x14ac:dyDescent="0.3">
      <c r="A100" s="186"/>
      <c r="B100" s="198"/>
      <c r="C100" s="98" t="s">
        <v>51</v>
      </c>
      <c r="D100" s="35" t="s">
        <v>131</v>
      </c>
      <c r="E100" s="36">
        <f t="shared" si="2"/>
        <v>4</v>
      </c>
      <c r="F100" s="37">
        <v>3</v>
      </c>
      <c r="G100" s="99"/>
      <c r="H100" s="126"/>
      <c r="I100" s="118"/>
      <c r="J100" s="125"/>
      <c r="K100" s="124"/>
      <c r="L100" s="201"/>
      <c r="M100" s="104"/>
      <c r="N100" s="33"/>
      <c r="O100" s="193"/>
      <c r="P100" s="196"/>
    </row>
    <row r="101" spans="1:17" ht="15.65" customHeight="1" x14ac:dyDescent="0.3">
      <c r="A101" s="186"/>
      <c r="B101" s="208" t="s">
        <v>38</v>
      </c>
      <c r="C101" s="86" t="s">
        <v>51</v>
      </c>
      <c r="D101" s="48" t="s">
        <v>132</v>
      </c>
      <c r="E101" s="49">
        <f t="shared" si="2"/>
        <v>4</v>
      </c>
      <c r="F101" s="59">
        <v>3</v>
      </c>
      <c r="G101" s="93"/>
      <c r="H101" s="94"/>
      <c r="I101" s="96"/>
      <c r="J101" s="97"/>
      <c r="K101" s="96"/>
      <c r="L101" s="201"/>
      <c r="M101" s="92"/>
      <c r="N101" s="56"/>
      <c r="O101" s="193"/>
      <c r="P101" s="196"/>
    </row>
    <row r="102" spans="1:17" ht="15.65" customHeight="1" x14ac:dyDescent="0.3">
      <c r="A102" s="186"/>
      <c r="B102" s="198"/>
      <c r="C102" s="98" t="s">
        <v>54</v>
      </c>
      <c r="D102" s="35" t="s">
        <v>133</v>
      </c>
      <c r="E102" s="36">
        <f t="shared" si="2"/>
        <v>4</v>
      </c>
      <c r="F102" s="37">
        <v>3</v>
      </c>
      <c r="G102" s="99"/>
      <c r="H102" s="100"/>
      <c r="I102" s="102"/>
      <c r="J102" s="103"/>
      <c r="K102" s="102"/>
      <c r="L102" s="201"/>
      <c r="M102" s="104"/>
      <c r="N102" s="33"/>
      <c r="O102" s="193"/>
      <c r="P102" s="196"/>
    </row>
    <row r="103" spans="1:17" ht="15.65" customHeight="1" x14ac:dyDescent="0.3">
      <c r="A103" s="186"/>
      <c r="B103" s="198"/>
      <c r="C103" s="98" t="s">
        <v>51</v>
      </c>
      <c r="D103" s="35" t="s">
        <v>134</v>
      </c>
      <c r="E103" s="36">
        <f t="shared" ref="E103:E134" si="3">IFERROR(VLOOKUP(D103, 기본학점, 2, FALSE), "")</f>
        <v>4</v>
      </c>
      <c r="F103" s="37">
        <v>3</v>
      </c>
      <c r="G103" s="99"/>
      <c r="H103" s="100"/>
      <c r="I103" s="102"/>
      <c r="J103" s="103"/>
      <c r="K103" s="102"/>
      <c r="L103" s="201"/>
      <c r="M103" s="104"/>
      <c r="N103" s="33"/>
      <c r="O103" s="193"/>
      <c r="P103" s="196"/>
    </row>
    <row r="104" spans="1:17" ht="15.65" customHeight="1" x14ac:dyDescent="0.3">
      <c r="A104" s="186"/>
      <c r="B104" s="198"/>
      <c r="C104" s="98" t="s">
        <v>51</v>
      </c>
      <c r="D104" s="35" t="s">
        <v>135</v>
      </c>
      <c r="E104" s="36">
        <f t="shared" si="3"/>
        <v>4</v>
      </c>
      <c r="F104" s="37">
        <v>3</v>
      </c>
      <c r="G104" s="99"/>
      <c r="H104" s="100"/>
      <c r="I104" s="102"/>
      <c r="J104" s="103"/>
      <c r="K104" s="102"/>
      <c r="L104" s="201"/>
      <c r="M104" s="104"/>
      <c r="N104" s="33"/>
      <c r="O104" s="193"/>
      <c r="P104" s="196"/>
    </row>
    <row r="105" spans="1:17" ht="15.65" customHeight="1" x14ac:dyDescent="0.3">
      <c r="A105" s="186"/>
      <c r="B105" s="208" t="s">
        <v>43</v>
      </c>
      <c r="C105" s="86" t="s">
        <v>51</v>
      </c>
      <c r="D105" s="48" t="s">
        <v>136</v>
      </c>
      <c r="E105" s="49">
        <f t="shared" si="3"/>
        <v>4</v>
      </c>
      <c r="F105" s="59">
        <v>3</v>
      </c>
      <c r="G105" s="93"/>
      <c r="H105" s="94"/>
      <c r="I105" s="115"/>
      <c r="J105" s="116"/>
      <c r="K105" s="141"/>
      <c r="L105" s="201"/>
      <c r="M105" s="92"/>
      <c r="N105" s="56"/>
      <c r="O105" s="193"/>
      <c r="P105" s="196"/>
    </row>
    <row r="106" spans="1:17" ht="15.65" customHeight="1" x14ac:dyDescent="0.3">
      <c r="A106" s="186"/>
      <c r="B106" s="198"/>
      <c r="C106" s="98" t="s">
        <v>51</v>
      </c>
      <c r="D106" s="35" t="s">
        <v>137</v>
      </c>
      <c r="E106" s="36">
        <f t="shared" si="3"/>
        <v>4</v>
      </c>
      <c r="F106" s="37">
        <v>3</v>
      </c>
      <c r="G106" s="99"/>
      <c r="H106" s="100"/>
      <c r="I106" s="118"/>
      <c r="J106" s="119"/>
      <c r="K106" s="143"/>
      <c r="L106" s="201"/>
      <c r="M106" s="104"/>
      <c r="N106" s="33"/>
      <c r="O106" s="193"/>
      <c r="P106" s="196"/>
    </row>
    <row r="107" spans="1:17" ht="15.65" customHeight="1" x14ac:dyDescent="0.3">
      <c r="A107" s="186"/>
      <c r="B107" s="198"/>
      <c r="C107" s="98" t="s">
        <v>51</v>
      </c>
      <c r="D107" s="35" t="s">
        <v>138</v>
      </c>
      <c r="E107" s="36">
        <f t="shared" si="3"/>
        <v>4</v>
      </c>
      <c r="F107" s="37">
        <v>3</v>
      </c>
      <c r="G107" s="99"/>
      <c r="H107" s="100"/>
      <c r="I107" s="118"/>
      <c r="J107" s="119"/>
      <c r="K107" s="143"/>
      <c r="L107" s="201"/>
      <c r="M107" s="104"/>
      <c r="N107" s="33"/>
      <c r="O107" s="193"/>
      <c r="P107" s="196"/>
    </row>
    <row r="108" spans="1:17" ht="15.65" customHeight="1" x14ac:dyDescent="0.3">
      <c r="A108" s="186"/>
      <c r="B108" s="198"/>
      <c r="C108" s="98" t="s">
        <v>54</v>
      </c>
      <c r="D108" s="35" t="s">
        <v>139</v>
      </c>
      <c r="E108" s="36">
        <f t="shared" si="3"/>
        <v>4</v>
      </c>
      <c r="F108" s="37">
        <v>3</v>
      </c>
      <c r="G108" s="99"/>
      <c r="H108" s="100"/>
      <c r="I108" s="118"/>
      <c r="J108" s="119"/>
      <c r="K108" s="143"/>
      <c r="L108" s="201"/>
      <c r="M108" s="104"/>
      <c r="N108" s="33"/>
      <c r="O108" s="193"/>
      <c r="P108" s="196"/>
    </row>
    <row r="109" spans="1:17" ht="15.65" customHeight="1" x14ac:dyDescent="0.3">
      <c r="A109" s="186"/>
      <c r="B109" s="208" t="s">
        <v>64</v>
      </c>
      <c r="C109" s="86" t="s">
        <v>54</v>
      </c>
      <c r="D109" s="48" t="s">
        <v>140</v>
      </c>
      <c r="E109" s="49">
        <f t="shared" si="3"/>
        <v>3</v>
      </c>
      <c r="F109" s="50">
        <v>3</v>
      </c>
      <c r="G109" s="93"/>
      <c r="H109" s="88"/>
      <c r="I109" s="115"/>
      <c r="J109" s="121"/>
      <c r="K109" s="90"/>
      <c r="L109" s="201"/>
      <c r="M109" s="92"/>
      <c r="N109" s="47"/>
      <c r="O109" s="193"/>
      <c r="P109" s="196"/>
    </row>
    <row r="110" spans="1:17" ht="15.65" customHeight="1" thickBot="1" x14ac:dyDescent="0.35">
      <c r="A110" s="186"/>
      <c r="B110" s="198"/>
      <c r="C110" s="98" t="s">
        <v>54</v>
      </c>
      <c r="D110" s="35" t="s">
        <v>141</v>
      </c>
      <c r="E110" s="36">
        <f t="shared" si="3"/>
        <v>3</v>
      </c>
      <c r="F110" s="57">
        <v>3</v>
      </c>
      <c r="G110" s="99"/>
      <c r="H110" s="126"/>
      <c r="I110" s="118"/>
      <c r="J110" s="125"/>
      <c r="K110" s="155"/>
      <c r="L110" s="191"/>
      <c r="M110" s="104"/>
      <c r="N110" s="33"/>
      <c r="O110" s="194"/>
      <c r="P110" s="225"/>
    </row>
    <row r="111" spans="1:17" ht="18" hidden="1" customHeight="1" thickBot="1" x14ac:dyDescent="0.35">
      <c r="A111" s="156"/>
      <c r="B111" s="157"/>
      <c r="C111" s="158"/>
      <c r="D111" s="159"/>
      <c r="E111" s="160" t="str">
        <f t="shared" si="3"/>
        <v/>
      </c>
      <c r="F111" s="146"/>
      <c r="G111" s="161"/>
      <c r="H111" s="129"/>
      <c r="I111" s="162"/>
      <c r="J111" s="153"/>
      <c r="K111" s="157"/>
      <c r="L111" s="153"/>
      <c r="M111" s="163"/>
      <c r="N111" s="163"/>
      <c r="O111" s="164"/>
      <c r="P111" s="128"/>
    </row>
    <row r="112" spans="1:17" ht="17.25" customHeight="1" x14ac:dyDescent="0.3">
      <c r="A112" s="247" t="s">
        <v>142</v>
      </c>
      <c r="B112" s="248"/>
      <c r="C112" s="248"/>
      <c r="D112" s="248"/>
      <c r="E112" s="237"/>
      <c r="F112" s="165"/>
      <c r="G112" s="166">
        <f>SUM(G7:G110)</f>
        <v>29</v>
      </c>
      <c r="H112" s="167">
        <f>SUM(H7:H111)</f>
        <v>29</v>
      </c>
      <c r="I112" s="166">
        <v>29</v>
      </c>
      <c r="J112" s="168">
        <v>29</v>
      </c>
      <c r="K112" s="169">
        <v>29</v>
      </c>
      <c r="L112" s="170">
        <v>29</v>
      </c>
      <c r="M112" s="171"/>
      <c r="N112" s="171"/>
      <c r="O112" s="172">
        <f>SUM(G112:L112)</f>
        <v>174</v>
      </c>
      <c r="P112" s="69">
        <f>SUM(P7:P110)</f>
        <v>84</v>
      </c>
      <c r="Q112" s="1"/>
    </row>
    <row r="113" spans="1:19" ht="15.65" customHeight="1" x14ac:dyDescent="0.3">
      <c r="A113" s="197" t="s">
        <v>143</v>
      </c>
      <c r="B113" s="205"/>
      <c r="C113" s="205"/>
      <c r="D113" s="205"/>
      <c r="E113" s="206"/>
      <c r="F113" s="174">
        <v>18</v>
      </c>
      <c r="G113" s="162">
        <v>3</v>
      </c>
      <c r="H113" s="153">
        <v>3</v>
      </c>
      <c r="I113" s="139">
        <v>3</v>
      </c>
      <c r="J113" s="153">
        <v>3</v>
      </c>
      <c r="K113" s="139">
        <v>3</v>
      </c>
      <c r="L113" s="175">
        <v>3</v>
      </c>
      <c r="M113" s="6"/>
      <c r="N113" s="162"/>
      <c r="O113" s="162">
        <f>SUM(G113:L113)</f>
        <v>18</v>
      </c>
      <c r="P113" s="44">
        <v>18</v>
      </c>
    </row>
    <row r="114" spans="1:19" ht="15" customHeight="1" x14ac:dyDescent="0.3">
      <c r="A114" s="197" t="s">
        <v>144</v>
      </c>
      <c r="B114" s="205"/>
      <c r="C114" s="205"/>
      <c r="D114" s="205"/>
      <c r="E114" s="205"/>
      <c r="F114" s="206"/>
      <c r="G114" s="176">
        <f t="shared" ref="G114:L114" si="4">SUM(G112:G113)</f>
        <v>32</v>
      </c>
      <c r="H114" s="177">
        <f t="shared" si="4"/>
        <v>32</v>
      </c>
      <c r="I114" s="176">
        <f t="shared" si="4"/>
        <v>32</v>
      </c>
      <c r="J114" s="177">
        <f t="shared" si="4"/>
        <v>32</v>
      </c>
      <c r="K114" s="176">
        <f t="shared" si="4"/>
        <v>32</v>
      </c>
      <c r="L114" s="177">
        <f t="shared" si="4"/>
        <v>32</v>
      </c>
      <c r="M114" s="174"/>
      <c r="N114" s="178"/>
      <c r="O114" s="183">
        <f>SUM(G114:M114)</f>
        <v>192</v>
      </c>
      <c r="P114" s="235"/>
    </row>
    <row r="115" spans="1:19" ht="15" customHeight="1" x14ac:dyDescent="0.3">
      <c r="A115" s="197" t="s">
        <v>145</v>
      </c>
      <c r="B115" s="205"/>
      <c r="C115" s="205"/>
      <c r="D115" s="205"/>
      <c r="E115" s="205"/>
      <c r="F115" s="206"/>
      <c r="G115" s="178">
        <v>9</v>
      </c>
      <c r="H115" s="177">
        <v>9</v>
      </c>
      <c r="I115" s="176">
        <v>9</v>
      </c>
      <c r="J115" s="177">
        <v>9</v>
      </c>
      <c r="K115" s="176">
        <v>11</v>
      </c>
      <c r="L115" s="173">
        <v>11</v>
      </c>
      <c r="M115" s="174"/>
      <c r="N115" s="178"/>
      <c r="O115" s="234"/>
      <c r="P115" s="235"/>
    </row>
    <row r="116" spans="1:19" ht="17.25" customHeight="1" thickBot="1" x14ac:dyDescent="0.35">
      <c r="A116" s="240" t="s">
        <v>146</v>
      </c>
      <c r="B116" s="241"/>
      <c r="C116" s="241"/>
      <c r="D116" s="241"/>
      <c r="E116" s="241"/>
      <c r="F116" s="213"/>
      <c r="G116" s="202">
        <f>SUM(G114:H114)</f>
        <v>64</v>
      </c>
      <c r="H116" s="213"/>
      <c r="I116" s="202">
        <f>SUM(I114:J114)</f>
        <v>64</v>
      </c>
      <c r="J116" s="213"/>
      <c r="K116" s="202">
        <f>SUM(K114:L114)</f>
        <v>64</v>
      </c>
      <c r="L116" s="213"/>
      <c r="M116" s="75"/>
      <c r="N116" s="179"/>
      <c r="O116" s="249">
        <f>SUM(G116:M116)</f>
        <v>192</v>
      </c>
      <c r="P116" s="250"/>
    </row>
    <row r="117" spans="1:19" ht="13.5" customHeight="1" x14ac:dyDescent="0.3">
      <c r="A117" s="214" t="s">
        <v>147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6"/>
    </row>
    <row r="118" spans="1:19" x14ac:dyDescent="0.3">
      <c r="A118" s="217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9"/>
    </row>
    <row r="119" spans="1:19" x14ac:dyDescent="0.3">
      <c r="A119" s="217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9"/>
    </row>
    <row r="120" spans="1:19" x14ac:dyDescent="0.3">
      <c r="A120" s="217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9"/>
    </row>
    <row r="121" spans="1:19" x14ac:dyDescent="0.3">
      <c r="A121" s="217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9"/>
    </row>
    <row r="122" spans="1:19" x14ac:dyDescent="0.3">
      <c r="A122" s="217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9"/>
    </row>
    <row r="123" spans="1:19" x14ac:dyDescent="0.3">
      <c r="A123" s="217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9"/>
      <c r="S123" s="180"/>
    </row>
    <row r="124" spans="1:19" x14ac:dyDescent="0.3">
      <c r="A124" s="217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9"/>
    </row>
    <row r="125" spans="1:19" ht="15" customHeight="1" thickBot="1" x14ac:dyDescent="0.35">
      <c r="A125" s="220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2"/>
    </row>
  </sheetData>
  <mergeCells count="89">
    <mergeCell ref="O116:P116"/>
    <mergeCell ref="P12:P16"/>
    <mergeCell ref="B56:B58"/>
    <mergeCell ref="P78:P110"/>
    <mergeCell ref="B7:B11"/>
    <mergeCell ref="B17:B21"/>
    <mergeCell ref="P17:P21"/>
    <mergeCell ref="I116:J116"/>
    <mergeCell ref="P40:P41"/>
    <mergeCell ref="O36:O39"/>
    <mergeCell ref="B62:B67"/>
    <mergeCell ref="G116:H116"/>
    <mergeCell ref="A116:F116"/>
    <mergeCell ref="B82:B85"/>
    <mergeCell ref="B50:B52"/>
    <mergeCell ref="B91:B93"/>
    <mergeCell ref="A115:F115"/>
    <mergeCell ref="K78:K95"/>
    <mergeCell ref="O114:P114"/>
    <mergeCell ref="B68:B71"/>
    <mergeCell ref="B99:B100"/>
    <mergeCell ref="B36:B39"/>
    <mergeCell ref="A112:E112"/>
    <mergeCell ref="O115:P115"/>
    <mergeCell ref="K3:L3"/>
    <mergeCell ref="P7:P11"/>
    <mergeCell ref="P26:P29"/>
    <mergeCell ref="A7:A41"/>
    <mergeCell ref="C3:C5"/>
    <mergeCell ref="K4:K5"/>
    <mergeCell ref="N3:N5"/>
    <mergeCell ref="F3:F5"/>
    <mergeCell ref="B72:B73"/>
    <mergeCell ref="B22:B25"/>
    <mergeCell ref="B109:B110"/>
    <mergeCell ref="O24:O25"/>
    <mergeCell ref="B86:B89"/>
    <mergeCell ref="G3:H3"/>
    <mergeCell ref="I3:J3"/>
    <mergeCell ref="A1:P1"/>
    <mergeCell ref="B12:B16"/>
    <mergeCell ref="A114:F114"/>
    <mergeCell ref="B79:B80"/>
    <mergeCell ref="B30:B35"/>
    <mergeCell ref="H4:H5"/>
    <mergeCell ref="A3:A5"/>
    <mergeCell ref="B94:B95"/>
    <mergeCell ref="P30:P35"/>
    <mergeCell ref="O3:O5"/>
    <mergeCell ref="G4:G5"/>
    <mergeCell ref="I4:I5"/>
    <mergeCell ref="D3:D5"/>
    <mergeCell ref="A78:A110"/>
    <mergeCell ref="K116:L116"/>
    <mergeCell ref="B26:B29"/>
    <mergeCell ref="A117:P125"/>
    <mergeCell ref="A2:D2"/>
    <mergeCell ref="B97:B98"/>
    <mergeCell ref="M3:M5"/>
    <mergeCell ref="O12:O16"/>
    <mergeCell ref="P3:P5"/>
    <mergeCell ref="K2:P2"/>
    <mergeCell ref="B105:B108"/>
    <mergeCell ref="O17:O21"/>
    <mergeCell ref="O30:O35"/>
    <mergeCell ref="P36:P39"/>
    <mergeCell ref="B3:B5"/>
    <mergeCell ref="O22:O23"/>
    <mergeCell ref="B101:B104"/>
    <mergeCell ref="A113:E113"/>
    <mergeCell ref="P24:P25"/>
    <mergeCell ref="B40:B41"/>
    <mergeCell ref="I42:I58"/>
    <mergeCell ref="O78:O110"/>
    <mergeCell ref="L96:L110"/>
    <mergeCell ref="B53:B54"/>
    <mergeCell ref="B75:B77"/>
    <mergeCell ref="P22:P23"/>
    <mergeCell ref="A42:A77"/>
    <mergeCell ref="O42:O77"/>
    <mergeCell ref="O26:O29"/>
    <mergeCell ref="J4:J5"/>
    <mergeCell ref="L4:L5"/>
    <mergeCell ref="E3:E5"/>
    <mergeCell ref="P42:P77"/>
    <mergeCell ref="B45:B49"/>
    <mergeCell ref="J59:J77"/>
    <mergeCell ref="O40:O41"/>
    <mergeCell ref="O7:O11"/>
  </mergeCells>
  <phoneticPr fontId="1" type="noConversion"/>
  <conditionalFormatting sqref="E7:E22">
    <cfRule type="expression" dxfId="5" priority="1">
      <formula>ISTEXT(E7)</formula>
    </cfRule>
  </conditionalFormatting>
  <conditionalFormatting sqref="E24:E48">
    <cfRule type="expression" dxfId="4" priority="5">
      <formula>ISTEXT(E24)</formula>
    </cfRule>
  </conditionalFormatting>
  <conditionalFormatting sqref="E50:E66">
    <cfRule type="expression" dxfId="3" priority="4">
      <formula>ISTEXT(E50)</formula>
    </cfRule>
  </conditionalFormatting>
  <conditionalFormatting sqref="E68:E88">
    <cfRule type="expression" dxfId="2" priority="3">
      <formula>ISTEXT(E68)</formula>
    </cfRule>
  </conditionalFormatting>
  <conditionalFormatting sqref="E90:E110">
    <cfRule type="expression" dxfId="1" priority="2">
      <formula>ISTEXT(E90)</formula>
    </cfRule>
  </conditionalFormatting>
  <conditionalFormatting sqref="F43">
    <cfRule type="expression" dxfId="0" priority="6">
      <formula>ISTEXT(F43)</formula>
    </cfRule>
  </conditionalFormatting>
  <dataValidations count="5">
    <dataValidation type="list" allowBlank="1" showInputMessage="1" sqref="N7:N110" xr:uid="{00000000-0002-0000-0000-000000000000}">
      <formula1>과목개설유형</formula1>
    </dataValidation>
    <dataValidation type="list" allowBlank="1" showInputMessage="1" sqref="M7:M111 N111" xr:uid="{00000000-0002-0000-0000-000001000000}">
      <formula1>비고</formula1>
    </dataValidation>
    <dataValidation type="list" allowBlank="1" showInputMessage="1" showErrorMessage="1" sqref="C30:C41 C53:C58 C72:C77 C90:C95 C109:C111" xr:uid="{00000000-0002-0000-0000-000002000000}">
      <formula1>과목유형2</formula1>
    </dataValidation>
    <dataValidation type="list" allowBlank="1" showInputMessage="1" showErrorMessage="1" sqref="B7:B10 B12:B111" xr:uid="{00000000-0002-0000-0000-000003000000}">
      <formula1>교과군</formula1>
    </dataValidation>
    <dataValidation type="list" allowBlank="1" showInputMessage="1" showErrorMessage="1" sqref="C7:C29 C42:C52 C59:C71 C78:C89 C96:C108" xr:uid="{00000000-0002-0000-0000-000004000000}">
      <formula1>과목유형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2026입학생</vt:lpstr>
      <vt:lpstr>'2026입학생'!Print_Area</vt:lpstr>
      <vt:lpstr>'2026입학생'!Print_Titles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김연희</cp:lastModifiedBy>
  <cp:lastPrinted>2025-10-22T22:56:20Z</cp:lastPrinted>
  <dcterms:created xsi:type="dcterms:W3CDTF">2024-04-19T11:26:34Z</dcterms:created>
  <dcterms:modified xsi:type="dcterms:W3CDTF">2026-08-12T15:59:58Z</dcterms:modified>
</cp:coreProperties>
</file>