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정보공시_서울전체\"/>
    </mc:Choice>
  </mc:AlternateContent>
  <xr:revisionPtr revIDLastSave="0" documentId="8_{108E6E9E-E21A-4C3C-B7E1-4E1F7E612F7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2026입학생" sheetId="1" r:id="rId1"/>
  </sheets>
  <definedNames>
    <definedName name="과목개설유형">#REF!</definedName>
    <definedName name="과목유형">#REF!</definedName>
    <definedName name="과목유형2">#REF!</definedName>
    <definedName name="교과군">#REF!</definedName>
    <definedName name="기본학점">#REF!</definedName>
    <definedName name="비고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5" i="1" l="1"/>
  <c r="K115" i="1"/>
  <c r="K117" i="1" s="1"/>
  <c r="J115" i="1"/>
  <c r="I115" i="1"/>
  <c r="I117" i="1" s="1"/>
  <c r="O114" i="1"/>
  <c r="P113" i="1"/>
  <c r="O113" i="1"/>
  <c r="H113" i="1"/>
  <c r="H115" i="1" s="1"/>
  <c r="G113" i="1"/>
  <c r="F113" i="1" s="1"/>
  <c r="O12" i="1"/>
  <c r="O7" i="1"/>
  <c r="G115" i="1" l="1"/>
  <c r="G117" i="1" l="1"/>
  <c r="O117" i="1" s="1"/>
  <c r="O115" i="1"/>
</calcChain>
</file>

<file path=xl/sharedStrings.xml><?xml version="1.0" encoding="utf-8"?>
<sst xmlns="http://schemas.openxmlformats.org/spreadsheetml/2006/main" count="297" uniqueCount="157">
  <si>
    <t>문정고등학교 교육과정 학점 배당표</t>
  </si>
  <si>
    <t>2026학년도 입학(2022 개정 교육과정 적용)</t>
  </si>
  <si>
    <t>구분</t>
  </si>
  <si>
    <t>교과(군)</t>
  </si>
  <si>
    <t>과목 
유형</t>
  </si>
  <si>
    <t>과목</t>
  </si>
  <si>
    <t>기본
학점</t>
  </si>
  <si>
    <t>운영
학점</t>
  </si>
  <si>
    <t>1학년</t>
  </si>
  <si>
    <t>2학년</t>
  </si>
  <si>
    <t>3학년</t>
  </si>
  <si>
    <t>비고</t>
  </si>
  <si>
    <t>과목 개설 유형</t>
  </si>
  <si>
    <t>이수
학점</t>
  </si>
  <si>
    <t>필수
이수
학점</t>
  </si>
  <si>
    <t>1학기</t>
  </si>
  <si>
    <t>2학기</t>
  </si>
  <si>
    <t>학교지정</t>
  </si>
  <si>
    <t>국 어</t>
  </si>
  <si>
    <t>공통</t>
  </si>
  <si>
    <t>공통국어1</t>
  </si>
  <si>
    <t>공통국어2</t>
  </si>
  <si>
    <t>일반</t>
  </si>
  <si>
    <t>문학</t>
  </si>
  <si>
    <t xml:space="preserve">화법과 언어 </t>
  </si>
  <si>
    <t xml:space="preserve">독서와 작문 </t>
  </si>
  <si>
    <t>수 학</t>
  </si>
  <si>
    <t>공통수학1</t>
  </si>
  <si>
    <t>공통수학2</t>
  </si>
  <si>
    <t>대수</t>
  </si>
  <si>
    <t>미적분Ⅰ</t>
  </si>
  <si>
    <t>확률과 통계</t>
  </si>
  <si>
    <t>영 어</t>
  </si>
  <si>
    <t>공통영어1</t>
  </si>
  <si>
    <t>공통영어2</t>
  </si>
  <si>
    <t>영어Ⅰ</t>
  </si>
  <si>
    <t>영어Ⅱ</t>
  </si>
  <si>
    <t>영어 독해와 작문</t>
  </si>
  <si>
    <t>사 회
(역사/도덕 포함)</t>
  </si>
  <si>
    <t>한국사1</t>
  </si>
  <si>
    <t>한국사2</t>
  </si>
  <si>
    <t>통합사회1</t>
  </si>
  <si>
    <t>통합사회2</t>
  </si>
  <si>
    <t>과 학</t>
  </si>
  <si>
    <t>통합과학1</t>
  </si>
  <si>
    <t>통합과학2</t>
  </si>
  <si>
    <t>과학탐구실험1</t>
  </si>
  <si>
    <t>과학탐구실험2</t>
  </si>
  <si>
    <t>체 육</t>
  </si>
  <si>
    <t>체육1</t>
  </si>
  <si>
    <t>체육2</t>
  </si>
  <si>
    <t>융합</t>
  </si>
  <si>
    <t>스포츠 생활2</t>
  </si>
  <si>
    <t>스포츠 생활1</t>
  </si>
  <si>
    <t>진로</t>
  </si>
  <si>
    <t>스포츠 문화</t>
  </si>
  <si>
    <t>스포츠 과학</t>
  </si>
  <si>
    <t>예 술</t>
  </si>
  <si>
    <t>음악</t>
  </si>
  <si>
    <t>미술</t>
  </si>
  <si>
    <t xml:space="preserve"> </t>
  </si>
  <si>
    <t>교양</t>
  </si>
  <si>
    <t>생태와 환경</t>
  </si>
  <si>
    <t>논술</t>
  </si>
  <si>
    <t xml:space="preserve">2
학년선택 </t>
  </si>
  <si>
    <t>독서 토론과 글쓰기</t>
  </si>
  <si>
    <t>12
(택4)</t>
  </si>
  <si>
    <t>기하</t>
  </si>
  <si>
    <t xml:space="preserve">미디어 영어 </t>
  </si>
  <si>
    <t>세계사</t>
  </si>
  <si>
    <t>세계시민과 지리</t>
  </si>
  <si>
    <t>사회와 문화</t>
  </si>
  <si>
    <t>현대사회와 윤리</t>
  </si>
  <si>
    <t>물리학</t>
  </si>
  <si>
    <t>화학</t>
  </si>
  <si>
    <t xml:space="preserve">생명과학 </t>
  </si>
  <si>
    <t>지구과학</t>
  </si>
  <si>
    <t>음악 연주와 창작</t>
  </si>
  <si>
    <t>드로잉</t>
  </si>
  <si>
    <t>특목고 선택 과목</t>
  </si>
  <si>
    <t>기술∙가정/정보</t>
  </si>
  <si>
    <t>정보</t>
  </si>
  <si>
    <t>3
(택1)</t>
  </si>
  <si>
    <t>제2외국어/한문</t>
  </si>
  <si>
    <t>중국어</t>
  </si>
  <si>
    <t xml:space="preserve">일본어 </t>
  </si>
  <si>
    <t>문학과 영상</t>
  </si>
  <si>
    <t>경제 수학</t>
  </si>
  <si>
    <t>세계 문화와 영어</t>
  </si>
  <si>
    <t>동아시아 역사 기행</t>
  </si>
  <si>
    <t xml:space="preserve">도시의 미래 탐구 </t>
  </si>
  <si>
    <t>기후변화와 지속가능한 세계</t>
  </si>
  <si>
    <t>경제</t>
  </si>
  <si>
    <t>정치</t>
  </si>
  <si>
    <t xml:space="preserve">윤리와 사상 </t>
  </si>
  <si>
    <t xml:space="preserve">역학과 에너지 </t>
  </si>
  <si>
    <t xml:space="preserve">물질과 에너지 </t>
  </si>
  <si>
    <t>생물의 유전</t>
  </si>
  <si>
    <t>행성우주과학</t>
  </si>
  <si>
    <t>음악과 문화</t>
  </si>
  <si>
    <t xml:space="preserve">미술 창작 </t>
  </si>
  <si>
    <t xml:space="preserve">인공지능 기초 </t>
  </si>
  <si>
    <t xml:space="preserve">중국어 회화 </t>
  </si>
  <si>
    <t>일본어 회화</t>
  </si>
  <si>
    <t>3학년 선택</t>
  </si>
  <si>
    <t>언어생활 탐구</t>
  </si>
  <si>
    <t>9
(택3)</t>
  </si>
  <si>
    <t>미적분Ⅱ</t>
  </si>
  <si>
    <t xml:space="preserve">심화 영어 </t>
  </si>
  <si>
    <t>한국지리 탐구</t>
  </si>
  <si>
    <t>법과 사회</t>
  </si>
  <si>
    <t>국제관계의 이해</t>
  </si>
  <si>
    <t>인문학과 윤리</t>
  </si>
  <si>
    <t>과학</t>
  </si>
  <si>
    <t>전자기와 양자</t>
  </si>
  <si>
    <t>화학 반응의 세계</t>
  </si>
  <si>
    <t xml:space="preserve">세포와 물질대사 </t>
  </si>
  <si>
    <t xml:space="preserve">지구시스템과학 </t>
  </si>
  <si>
    <t>융합과학 탐구</t>
  </si>
  <si>
    <t>인간과 심리</t>
  </si>
  <si>
    <t>음악 감상과 비평</t>
  </si>
  <si>
    <t>2
(택1)</t>
  </si>
  <si>
    <t>미술과 매체</t>
  </si>
  <si>
    <t>데이터 과학</t>
  </si>
  <si>
    <t xml:space="preserve">중국 문화 </t>
  </si>
  <si>
    <t>일본 문화</t>
  </si>
  <si>
    <t>국어</t>
  </si>
  <si>
    <t xml:space="preserve">주제 탐구 독서 </t>
  </si>
  <si>
    <t>21
(택7)</t>
  </si>
  <si>
    <t xml:space="preserve">매체 의사소통 </t>
  </si>
  <si>
    <t>수학</t>
  </si>
  <si>
    <t>인공지능수학</t>
  </si>
  <si>
    <t>실용 통계</t>
  </si>
  <si>
    <t>영어</t>
  </si>
  <si>
    <t xml:space="preserve">심화 영어 독해와 작문 </t>
  </si>
  <si>
    <t>영미 문학 읽기</t>
  </si>
  <si>
    <t>역사로 탐구하는 현대 세계</t>
  </si>
  <si>
    <t>여행지리</t>
  </si>
  <si>
    <t>금융과 경제생활</t>
  </si>
  <si>
    <t>윤리문제 탐구</t>
  </si>
  <si>
    <t>과학의 역사와 문화</t>
  </si>
  <si>
    <t>기후변화와 환경생태</t>
  </si>
  <si>
    <t>체육</t>
  </si>
  <si>
    <t>운동과 건강</t>
  </si>
  <si>
    <t xml:space="preserve">진로와 직업 </t>
  </si>
  <si>
    <t>음악과 미디어</t>
  </si>
  <si>
    <t>미술 감상과 비평</t>
  </si>
  <si>
    <t>소프트웨어와 생활</t>
  </si>
  <si>
    <t xml:space="preserve">심화 중국어 </t>
  </si>
  <si>
    <t>심화 일본어</t>
  </si>
  <si>
    <t>교과 이수 학점 소계</t>
  </si>
  <si>
    <t>창의적 체험활동</t>
  </si>
  <si>
    <t>학기별 총 이수 학점</t>
  </si>
  <si>
    <t>학기당 이수 과목 수</t>
  </si>
  <si>
    <t>학년별 총 이수 학점</t>
  </si>
  <si>
    <t xml:space="preserve">※ 유의사항
- (예체능) 특목고 과목 성적 산출은 5단계/5등급임.                                                                                                                                                                                          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</si>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</sst>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0" tint="-0.14999847407452621"/>
      <name val="맑은 고딕"/>
      <family val="3"/>
      <charset val="129"/>
      <scheme val="minor"/>
    </font>
    <font>
      <sz val="11"/>
      <name val="맑은 고딕"/>
      <family val="3"/>
      <charset val="129"/>
    </font>
    <font>
      <i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1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/>
      <top style="hair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theme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44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49" fontId="10" fillId="0" borderId="23" xfId="1" applyNumberFormat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0" fillId="0" borderId="31" xfId="1" applyNumberFormat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49" fontId="10" fillId="0" borderId="37" xfId="1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 wrapText="1"/>
    </xf>
    <xf numFmtId="0" fontId="10" fillId="0" borderId="3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 wrapText="1"/>
    </xf>
    <xf numFmtId="0" fontId="10" fillId="0" borderId="37" xfId="1" applyFont="1" applyBorder="1" applyAlignment="1">
      <alignment horizontal="center" vertical="center" wrapText="1"/>
    </xf>
    <xf numFmtId="0" fontId="10" fillId="0" borderId="40" xfId="1" applyFont="1" applyBorder="1" applyAlignment="1">
      <alignment horizontal="center" vertical="center" wrapText="1"/>
    </xf>
    <xf numFmtId="0" fontId="10" fillId="0" borderId="41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 vertical="center" wrapText="1"/>
    </xf>
    <xf numFmtId="49" fontId="5" fillId="0" borderId="44" xfId="0" applyNumberFormat="1" applyFont="1" applyBorder="1" applyAlignment="1">
      <alignment horizontal="center" vertical="center" wrapText="1"/>
    </xf>
    <xf numFmtId="49" fontId="10" fillId="0" borderId="46" xfId="1" applyNumberFormat="1" applyFont="1" applyBorder="1" applyAlignment="1">
      <alignment horizontal="center" vertical="center" wrapText="1"/>
    </xf>
    <xf numFmtId="0" fontId="10" fillId="0" borderId="46" xfId="1" applyFont="1" applyBorder="1" applyAlignment="1">
      <alignment horizontal="center" vertical="center"/>
    </xf>
    <xf numFmtId="0" fontId="10" fillId="0" borderId="47" xfId="1" applyFont="1" applyBorder="1" applyAlignment="1">
      <alignment horizontal="center" vertical="center" wrapText="1"/>
    </xf>
    <xf numFmtId="0" fontId="10" fillId="0" borderId="46" xfId="1" applyFont="1" applyBorder="1" applyAlignment="1">
      <alignment horizontal="center" vertical="center" wrapText="1"/>
    </xf>
    <xf numFmtId="0" fontId="10" fillId="0" borderId="48" xfId="1" applyFont="1" applyBorder="1" applyAlignment="1">
      <alignment horizontal="center" vertical="center" wrapText="1"/>
    </xf>
    <xf numFmtId="0" fontId="10" fillId="0" borderId="49" xfId="1" applyFont="1" applyBorder="1" applyAlignment="1">
      <alignment horizontal="center" vertical="center" wrapText="1"/>
    </xf>
    <xf numFmtId="0" fontId="10" fillId="0" borderId="50" xfId="1" applyFont="1" applyBorder="1" applyAlignment="1">
      <alignment horizontal="center" vertical="center" wrapText="1"/>
    </xf>
    <xf numFmtId="49" fontId="5" fillId="0" borderId="47" xfId="0" applyNumberFormat="1" applyFont="1" applyBorder="1" applyAlignment="1">
      <alignment horizontal="center" vertical="center" wrapText="1"/>
    </xf>
    <xf numFmtId="49" fontId="10" fillId="0" borderId="51" xfId="1" applyNumberFormat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 wrapText="1"/>
    </xf>
    <xf numFmtId="0" fontId="10" fillId="0" borderId="52" xfId="1" applyFont="1" applyBorder="1" applyAlignment="1">
      <alignment horizontal="center" vertical="center" wrapText="1"/>
    </xf>
    <xf numFmtId="0" fontId="10" fillId="0" borderId="53" xfId="1" applyFont="1" applyBorder="1" applyAlignment="1">
      <alignment horizontal="center" vertical="center" wrapText="1"/>
    </xf>
    <xf numFmtId="0" fontId="10" fillId="0" borderId="54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/>
    </xf>
    <xf numFmtId="49" fontId="10" fillId="0" borderId="8" xfId="1" applyNumberFormat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10" fillId="0" borderId="55" xfId="1" applyNumberFormat="1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/>
    </xf>
    <xf numFmtId="0" fontId="10" fillId="0" borderId="57" xfId="1" applyFont="1" applyBorder="1" applyAlignment="1">
      <alignment horizontal="center" vertical="center" wrapText="1"/>
    </xf>
    <xf numFmtId="0" fontId="10" fillId="0" borderId="55" xfId="1" applyFont="1" applyBorder="1" applyAlignment="1">
      <alignment horizontal="center" vertical="center" wrapText="1"/>
    </xf>
    <xf numFmtId="0" fontId="10" fillId="0" borderId="58" xfId="1" applyFont="1" applyBorder="1" applyAlignment="1">
      <alignment horizontal="center" vertical="center" wrapText="1"/>
    </xf>
    <xf numFmtId="0" fontId="10" fillId="0" borderId="59" xfId="1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0" fontId="10" fillId="0" borderId="50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10" fillId="0" borderId="46" xfId="1" quotePrefix="1" applyFont="1" applyBorder="1" applyAlignment="1">
      <alignment horizontal="center" vertical="center" wrapText="1"/>
    </xf>
    <xf numFmtId="49" fontId="10" fillId="0" borderId="56" xfId="1" applyNumberFormat="1" applyFont="1" applyBorder="1" applyAlignment="1">
      <alignment horizontal="center" vertical="center" wrapText="1"/>
    </xf>
    <xf numFmtId="0" fontId="10" fillId="0" borderId="63" xfId="1" applyFont="1" applyBorder="1" applyAlignment="1">
      <alignment horizontal="center" vertical="center"/>
    </xf>
    <xf numFmtId="0" fontId="10" fillId="0" borderId="55" xfId="1" quotePrefix="1" applyFont="1" applyBorder="1" applyAlignment="1">
      <alignment horizontal="center" vertical="center" wrapText="1"/>
    </xf>
    <xf numFmtId="0" fontId="10" fillId="0" borderId="64" xfId="1" applyFont="1" applyBorder="1" applyAlignment="1">
      <alignment horizontal="center" vertical="center" wrapText="1"/>
    </xf>
    <xf numFmtId="0" fontId="10" fillId="0" borderId="65" xfId="1" applyFont="1" applyBorder="1" applyAlignment="1">
      <alignment horizontal="center" vertical="center" wrapText="1"/>
    </xf>
    <xf numFmtId="0" fontId="10" fillId="0" borderId="64" xfId="1" quotePrefix="1" applyFont="1" applyBorder="1" applyAlignment="1">
      <alignment horizontal="center" vertical="center" wrapText="1"/>
    </xf>
    <xf numFmtId="0" fontId="10" fillId="0" borderId="66" xfId="1" quotePrefix="1" applyFont="1" applyBorder="1" applyAlignment="1">
      <alignment horizontal="center" vertical="center" wrapText="1"/>
    </xf>
    <xf numFmtId="0" fontId="10" fillId="0" borderId="49" xfId="1" quotePrefix="1" applyFont="1" applyBorder="1" applyAlignment="1">
      <alignment horizontal="center" vertical="center" wrapText="1"/>
    </xf>
    <xf numFmtId="0" fontId="10" fillId="0" borderId="50" xfId="1" quotePrefix="1" applyFont="1" applyBorder="1" applyAlignment="1">
      <alignment horizontal="center" vertical="center" wrapText="1"/>
    </xf>
    <xf numFmtId="0" fontId="10" fillId="0" borderId="31" xfId="1" quotePrefix="1" applyFont="1" applyBorder="1" applyAlignment="1">
      <alignment horizontal="center" vertical="center" wrapText="1"/>
    </xf>
    <xf numFmtId="0" fontId="10" fillId="0" borderId="35" xfId="1" quotePrefix="1" applyFont="1" applyBorder="1" applyAlignment="1">
      <alignment horizontal="center" vertical="center" wrapText="1"/>
    </xf>
    <xf numFmtId="0" fontId="10" fillId="0" borderId="36" xfId="1" quotePrefix="1" applyFont="1" applyBorder="1" applyAlignment="1">
      <alignment horizontal="center" vertical="center" wrapText="1"/>
    </xf>
    <xf numFmtId="0" fontId="10" fillId="0" borderId="67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 wrapText="1"/>
    </xf>
    <xf numFmtId="0" fontId="10" fillId="0" borderId="56" xfId="1" applyFont="1" applyBorder="1" applyAlignment="1">
      <alignment horizontal="center" vertical="center" wrapText="1"/>
    </xf>
    <xf numFmtId="0" fontId="10" fillId="0" borderId="63" xfId="1" applyFont="1" applyBorder="1" applyAlignment="1">
      <alignment horizontal="center" vertical="center" wrapText="1"/>
    </xf>
    <xf numFmtId="49" fontId="5" fillId="0" borderId="46" xfId="1" applyNumberFormat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48" xfId="1" applyFont="1" applyBorder="1" applyAlignment="1">
      <alignment horizontal="center" vertical="center" wrapText="1"/>
    </xf>
    <xf numFmtId="0" fontId="5" fillId="0" borderId="49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 wrapText="1"/>
    </xf>
    <xf numFmtId="49" fontId="5" fillId="0" borderId="51" xfId="1" applyNumberFormat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49" fontId="5" fillId="0" borderId="31" xfId="1" applyNumberFormat="1" applyFont="1" applyBorder="1" applyAlignment="1">
      <alignment horizontal="center" vertical="center" wrapText="1"/>
    </xf>
    <xf numFmtId="49" fontId="5" fillId="0" borderId="33" xfId="1" applyNumberFormat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 wrapText="1"/>
    </xf>
    <xf numFmtId="0" fontId="5" fillId="0" borderId="53" xfId="1" applyFont="1" applyBorder="1" applyAlignment="1">
      <alignment horizontal="center" vertical="center" wrapText="1"/>
    </xf>
    <xf numFmtId="0" fontId="5" fillId="0" borderId="52" xfId="1" applyFont="1" applyBorder="1" applyAlignment="1">
      <alignment horizontal="center" vertical="center" wrapText="1"/>
    </xf>
    <xf numFmtId="49" fontId="5" fillId="0" borderId="57" xfId="1" applyNumberFormat="1" applyFont="1" applyBorder="1" applyAlignment="1">
      <alignment horizontal="center" vertical="center" wrapText="1"/>
    </xf>
    <xf numFmtId="0" fontId="11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 wrapText="1"/>
    </xf>
    <xf numFmtId="0" fontId="5" fillId="0" borderId="55" xfId="1" applyFont="1" applyBorder="1" applyAlignment="1">
      <alignment horizontal="center" vertical="center" wrapText="1"/>
    </xf>
    <xf numFmtId="0" fontId="5" fillId="0" borderId="57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49" fontId="5" fillId="0" borderId="66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5" fillId="0" borderId="37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51" xfId="1" applyFont="1" applyBorder="1" applyAlignment="1">
      <alignment horizontal="center" vertical="center"/>
    </xf>
    <xf numFmtId="0" fontId="5" fillId="0" borderId="67" xfId="1" applyFont="1" applyBorder="1" applyAlignment="1">
      <alignment horizontal="center" vertical="center" wrapText="1"/>
    </xf>
    <xf numFmtId="0" fontId="5" fillId="0" borderId="51" xfId="1" applyFont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49" fontId="5" fillId="0" borderId="47" xfId="1" applyNumberFormat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/>
    </xf>
    <xf numFmtId="0" fontId="5" fillId="0" borderId="71" xfId="1" applyFont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 wrapText="1"/>
    </xf>
    <xf numFmtId="0" fontId="5" fillId="0" borderId="72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49" fontId="5" fillId="0" borderId="73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/>
    </xf>
    <xf numFmtId="0" fontId="5" fillId="0" borderId="75" xfId="1" applyFont="1" applyBorder="1" applyAlignment="1">
      <alignment horizontal="center" vertical="center" wrapText="1"/>
    </xf>
    <xf numFmtId="0" fontId="5" fillId="0" borderId="76" xfId="1" applyFont="1" applyBorder="1" applyAlignment="1">
      <alignment horizontal="center" vertical="center" wrapText="1"/>
    </xf>
    <xf numFmtId="0" fontId="5" fillId="0" borderId="77" xfId="1" applyFont="1" applyBorder="1" applyAlignment="1">
      <alignment horizontal="center" vertical="center" wrapText="1"/>
    </xf>
    <xf numFmtId="0" fontId="5" fillId="0" borderId="78" xfId="1" applyFont="1" applyBorder="1" applyAlignment="1">
      <alignment horizontal="center" vertical="center" wrapText="1"/>
    </xf>
    <xf numFmtId="49" fontId="5" fillId="0" borderId="79" xfId="1" applyNumberFormat="1" applyFont="1" applyBorder="1" applyAlignment="1">
      <alignment horizontal="center" vertical="center" wrapText="1"/>
    </xf>
    <xf numFmtId="49" fontId="5" fillId="0" borderId="80" xfId="0" applyNumberFormat="1" applyFont="1" applyBorder="1" applyAlignment="1">
      <alignment horizontal="center" vertical="center" wrapText="1"/>
    </xf>
    <xf numFmtId="0" fontId="10" fillId="0" borderId="81" xfId="1" applyFont="1" applyBorder="1" applyAlignment="1">
      <alignment horizontal="center" vertical="center" wrapText="1"/>
    </xf>
    <xf numFmtId="49" fontId="5" fillId="0" borderId="82" xfId="1" applyNumberFormat="1" applyFont="1" applyBorder="1" applyAlignment="1">
      <alignment horizontal="center" vertical="center" wrapText="1"/>
    </xf>
    <xf numFmtId="0" fontId="5" fillId="0" borderId="55" xfId="1" applyFont="1" applyBorder="1" applyAlignment="1">
      <alignment horizontal="center" vertical="center"/>
    </xf>
    <xf numFmtId="0" fontId="5" fillId="0" borderId="83" xfId="1" applyFont="1" applyBorder="1" applyAlignment="1">
      <alignment horizontal="center" vertical="center" wrapText="1"/>
    </xf>
    <xf numFmtId="0" fontId="5" fillId="0" borderId="66" xfId="1" applyFont="1" applyBorder="1" applyAlignment="1">
      <alignment horizontal="center" vertical="center" wrapText="1"/>
    </xf>
    <xf numFmtId="49" fontId="5" fillId="0" borderId="84" xfId="0" applyNumberFormat="1" applyFont="1" applyBorder="1" applyAlignment="1">
      <alignment horizontal="center" vertical="center" wrapText="1"/>
    </xf>
    <xf numFmtId="0" fontId="12" fillId="4" borderId="85" xfId="0" applyFont="1" applyFill="1" applyBorder="1" applyAlignment="1">
      <alignment vertical="center" wrapText="1"/>
    </xf>
    <xf numFmtId="0" fontId="10" fillId="0" borderId="86" xfId="1" applyFont="1" applyBorder="1" applyAlignment="1">
      <alignment horizontal="center" vertical="center" wrapText="1"/>
    </xf>
    <xf numFmtId="49" fontId="5" fillId="0" borderId="29" xfId="1" applyNumberFormat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 wrapText="1"/>
    </xf>
    <xf numFmtId="176" fontId="5" fillId="0" borderId="29" xfId="1" applyNumberFormat="1" applyFont="1" applyBorder="1" applyAlignment="1">
      <alignment horizontal="center" vertical="center" wrapText="1"/>
    </xf>
    <xf numFmtId="0" fontId="5" fillId="0" borderId="88" xfId="1" applyFont="1" applyBorder="1" applyAlignment="1">
      <alignment horizontal="center" vertical="center" wrapText="1"/>
    </xf>
    <xf numFmtId="0" fontId="5" fillId="0" borderId="89" xfId="1" applyFont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 wrapText="1"/>
    </xf>
    <xf numFmtId="49" fontId="5" fillId="0" borderId="87" xfId="1" applyNumberFormat="1" applyFont="1" applyBorder="1" applyAlignment="1">
      <alignment horizontal="center" vertical="center" wrapText="1"/>
    </xf>
    <xf numFmtId="49" fontId="5" fillId="0" borderId="91" xfId="0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76" fontId="5" fillId="0" borderId="46" xfId="1" applyNumberFormat="1" applyFont="1" applyBorder="1" applyAlignment="1">
      <alignment horizontal="center" vertical="center" wrapText="1"/>
    </xf>
    <xf numFmtId="0" fontId="5" fillId="0" borderId="40" xfId="1" quotePrefix="1" applyFont="1" applyBorder="1" applyAlignment="1">
      <alignment horizontal="center" vertical="center" wrapText="1"/>
    </xf>
    <xf numFmtId="0" fontId="5" fillId="3" borderId="46" xfId="1" applyFont="1" applyFill="1" applyBorder="1" applyAlignment="1">
      <alignment horizontal="center" vertical="center" wrapText="1"/>
    </xf>
    <xf numFmtId="0" fontId="5" fillId="3" borderId="49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 wrapText="1"/>
    </xf>
    <xf numFmtId="49" fontId="5" fillId="0" borderId="93" xfId="0" applyNumberFormat="1" applyFont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94" xfId="1" applyFont="1" applyBorder="1" applyAlignment="1">
      <alignment horizontal="center" vertical="center" wrapText="1"/>
    </xf>
    <xf numFmtId="176" fontId="5" fillId="0" borderId="35" xfId="1" applyNumberFormat="1" applyFont="1" applyBorder="1" applyAlignment="1">
      <alignment horizontal="center" vertical="center" wrapText="1"/>
    </xf>
    <xf numFmtId="0" fontId="5" fillId="0" borderId="95" xfId="1" applyFont="1" applyBorder="1" applyAlignment="1">
      <alignment horizontal="center" vertical="center" wrapText="1"/>
    </xf>
    <xf numFmtId="0" fontId="5" fillId="0" borderId="36" xfId="1" quotePrefix="1" applyFont="1" applyBorder="1" applyAlignment="1">
      <alignment horizontal="center" vertical="center" wrapText="1"/>
    </xf>
    <xf numFmtId="0" fontId="5" fillId="3" borderId="31" xfId="1" applyFont="1" applyFill="1" applyBorder="1" applyAlignment="1">
      <alignment horizontal="center" vertical="center" wrapText="1"/>
    </xf>
    <xf numFmtId="0" fontId="5" fillId="3" borderId="35" xfId="1" applyFont="1" applyFill="1" applyBorder="1" applyAlignment="1">
      <alignment horizontal="center" vertical="center" wrapText="1"/>
    </xf>
    <xf numFmtId="0" fontId="5" fillId="3" borderId="36" xfId="1" applyFont="1" applyFill="1" applyBorder="1" applyAlignment="1">
      <alignment horizontal="center" vertical="center" wrapText="1"/>
    </xf>
    <xf numFmtId="49" fontId="5" fillId="0" borderId="39" xfId="1" applyNumberFormat="1" applyFont="1" applyBorder="1" applyAlignment="1">
      <alignment horizontal="center" vertical="center" wrapText="1"/>
    </xf>
    <xf numFmtId="49" fontId="5" fillId="0" borderId="96" xfId="0" applyNumberFormat="1" applyFont="1" applyBorder="1" applyAlignment="1">
      <alignment horizontal="center" vertical="center" wrapText="1"/>
    </xf>
    <xf numFmtId="176" fontId="5" fillId="0" borderId="31" xfId="1" applyNumberFormat="1" applyFont="1" applyBorder="1" applyAlignment="1">
      <alignment horizontal="center" vertical="center" wrapText="1"/>
    </xf>
    <xf numFmtId="0" fontId="5" fillId="0" borderId="34" xfId="1" quotePrefix="1" applyFont="1" applyBorder="1" applyAlignment="1">
      <alignment horizontal="center" vertical="center" wrapText="1"/>
    </xf>
    <xf numFmtId="0" fontId="6" fillId="3" borderId="31" xfId="1" applyFont="1" applyFill="1" applyBorder="1" applyAlignment="1">
      <alignment horizontal="center" vertical="center" wrapText="1"/>
    </xf>
    <xf numFmtId="0" fontId="6" fillId="3" borderId="35" xfId="1" applyFont="1" applyFill="1" applyBorder="1" applyAlignment="1">
      <alignment horizontal="center" vertical="center" wrapText="1"/>
    </xf>
    <xf numFmtId="0" fontId="6" fillId="3" borderId="36" xfId="1" applyFont="1" applyFill="1" applyBorder="1" applyAlignment="1">
      <alignment horizontal="center" vertical="center" wrapText="1"/>
    </xf>
    <xf numFmtId="49" fontId="5" fillId="0" borderId="56" xfId="1" applyNumberFormat="1" applyFont="1" applyBorder="1" applyAlignment="1">
      <alignment horizontal="center" vertical="center" wrapText="1"/>
    </xf>
    <xf numFmtId="0" fontId="5" fillId="0" borderId="56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 wrapText="1"/>
    </xf>
    <xf numFmtId="0" fontId="5" fillId="0" borderId="59" xfId="1" quotePrefix="1" applyFont="1" applyBorder="1" applyAlignment="1">
      <alignment horizontal="center" vertical="center" wrapText="1"/>
    </xf>
    <xf numFmtId="0" fontId="6" fillId="3" borderId="63" xfId="1" applyFont="1" applyFill="1" applyBorder="1" applyAlignment="1">
      <alignment horizontal="center" vertical="center" wrapText="1"/>
    </xf>
    <xf numFmtId="0" fontId="6" fillId="3" borderId="58" xfId="1" applyFont="1" applyFill="1" applyBorder="1" applyAlignment="1">
      <alignment horizontal="center" vertical="center" wrapText="1"/>
    </xf>
    <xf numFmtId="49" fontId="5" fillId="0" borderId="44" xfId="1" applyNumberFormat="1" applyFont="1" applyBorder="1" applyAlignment="1">
      <alignment horizontal="center" vertical="center" wrapText="1"/>
    </xf>
    <xf numFmtId="49" fontId="5" fillId="0" borderId="97" xfId="0" applyNumberFormat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50" xfId="1" quotePrefix="1" applyFont="1" applyBorder="1" applyAlignment="1">
      <alignment horizontal="center" vertical="center" wrapText="1"/>
    </xf>
    <xf numFmtId="0" fontId="5" fillId="0" borderId="52" xfId="1" quotePrefix="1" applyFont="1" applyBorder="1" applyAlignment="1">
      <alignment horizontal="center" vertical="center" wrapText="1"/>
    </xf>
    <xf numFmtId="0" fontId="5" fillId="0" borderId="0" xfId="1" quotePrefix="1" applyFont="1" applyAlignment="1">
      <alignment horizontal="center" vertical="center" wrapText="1"/>
    </xf>
    <xf numFmtId="0" fontId="5" fillId="0" borderId="35" xfId="1" quotePrefix="1" applyFont="1" applyBorder="1" applyAlignment="1">
      <alignment horizontal="center" vertical="center" wrapText="1"/>
    </xf>
    <xf numFmtId="0" fontId="5" fillId="0" borderId="58" xfId="1" quotePrefix="1" applyFont="1" applyBorder="1" applyAlignment="1">
      <alignment horizontal="center" vertical="center" wrapText="1"/>
    </xf>
    <xf numFmtId="0" fontId="5" fillId="0" borderId="63" xfId="1" applyFont="1" applyBorder="1" applyAlignment="1">
      <alignment horizontal="center" vertical="center" wrapText="1"/>
    </xf>
    <xf numFmtId="0" fontId="5" fillId="0" borderId="63" xfId="1" quotePrefix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/>
    </xf>
    <xf numFmtId="0" fontId="5" fillId="0" borderId="98" xfId="1" applyFont="1" applyBorder="1" applyAlignment="1">
      <alignment horizontal="center" vertical="center" wrapText="1"/>
    </xf>
    <xf numFmtId="0" fontId="5" fillId="0" borderId="73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center"/>
    </xf>
    <xf numFmtId="0" fontId="5" fillId="0" borderId="99" xfId="1" applyFont="1" applyBorder="1" applyAlignment="1">
      <alignment horizontal="center" vertical="center" wrapText="1"/>
    </xf>
    <xf numFmtId="0" fontId="12" fillId="4" borderId="100" xfId="0" applyFont="1" applyFill="1" applyBorder="1" applyAlignment="1">
      <alignment vertical="center" wrapText="1"/>
    </xf>
    <xf numFmtId="0" fontId="10" fillId="0" borderId="101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102" xfId="1" applyFont="1" applyBorder="1" applyAlignment="1">
      <alignment horizontal="center" vertical="center" wrapText="1"/>
    </xf>
    <xf numFmtId="49" fontId="5" fillId="0" borderId="102" xfId="1" applyNumberFormat="1" applyFont="1" applyBorder="1" applyAlignment="1">
      <alignment horizontal="center" vertical="center" wrapText="1"/>
    </xf>
    <xf numFmtId="0" fontId="12" fillId="4" borderId="103" xfId="0" applyFont="1" applyFill="1" applyBorder="1" applyAlignment="1">
      <alignment vertical="center" wrapText="1"/>
    </xf>
    <xf numFmtId="0" fontId="5" fillId="0" borderId="8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 wrapText="1"/>
    </xf>
    <xf numFmtId="49" fontId="5" fillId="0" borderId="70" xfId="1" applyNumberFormat="1" applyFont="1" applyBorder="1" applyAlignment="1">
      <alignment horizontal="center" vertical="center" wrapText="1"/>
    </xf>
    <xf numFmtId="49" fontId="5" fillId="0" borderId="104" xfId="0" applyNumberFormat="1" applyFont="1" applyBorder="1" applyAlignment="1">
      <alignment horizontal="center" vertical="center" wrapText="1"/>
    </xf>
    <xf numFmtId="0" fontId="12" fillId="4" borderId="106" xfId="0" applyFont="1" applyFill="1" applyBorder="1" applyAlignment="1">
      <alignment vertical="center" wrapText="1"/>
    </xf>
    <xf numFmtId="0" fontId="5" fillId="0" borderId="107" xfId="1" applyFont="1" applyBorder="1" applyAlignment="1">
      <alignment horizontal="center" vertical="center" wrapText="1"/>
    </xf>
    <xf numFmtId="0" fontId="12" fillId="4" borderId="11" xfId="0" applyFont="1" applyFill="1" applyBorder="1" applyAlignment="1">
      <alignment vertical="center" wrapText="1"/>
    </xf>
    <xf numFmtId="49" fontId="5" fillId="0" borderId="87" xfId="0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/>
    </xf>
    <xf numFmtId="176" fontId="5" fillId="0" borderId="55" xfId="1" applyNumberFormat="1" applyFont="1" applyBorder="1" applyAlignment="1">
      <alignment horizontal="center" vertical="center" wrapText="1"/>
    </xf>
    <xf numFmtId="49" fontId="5" fillId="0" borderId="55" xfId="1" applyNumberFormat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 wrapText="1"/>
    </xf>
    <xf numFmtId="49" fontId="5" fillId="0" borderId="36" xfId="1" applyNumberFormat="1" applyFont="1" applyBorder="1" applyAlignment="1">
      <alignment horizontal="center" vertical="center" wrapText="1"/>
    </xf>
    <xf numFmtId="0" fontId="5" fillId="0" borderId="66" xfId="1" applyFont="1" applyBorder="1" applyAlignment="1">
      <alignment horizontal="center" vertical="center"/>
    </xf>
    <xf numFmtId="0" fontId="5" fillId="0" borderId="19" xfId="1" quotePrefix="1" applyFont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6" fillId="3" borderId="54" xfId="1" applyFont="1" applyFill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/>
    </xf>
    <xf numFmtId="0" fontId="5" fillId="0" borderId="48" xfId="1" quotePrefix="1" applyFont="1" applyBorder="1" applyAlignment="1">
      <alignment horizontal="center" vertical="center" wrapText="1"/>
    </xf>
    <xf numFmtId="0" fontId="5" fillId="0" borderId="33" xfId="1" quotePrefix="1" applyFont="1" applyBorder="1" applyAlignment="1">
      <alignment horizontal="center" vertical="center" wrapText="1"/>
    </xf>
    <xf numFmtId="0" fontId="5" fillId="0" borderId="109" xfId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 wrapText="1"/>
    </xf>
    <xf numFmtId="0" fontId="5" fillId="0" borderId="44" xfId="1" quotePrefix="1" applyFont="1" applyBorder="1" applyAlignment="1">
      <alignment horizontal="center" vertical="center" wrapText="1"/>
    </xf>
    <xf numFmtId="0" fontId="5" fillId="0" borderId="59" xfId="1" applyFont="1" applyBorder="1" applyAlignment="1">
      <alignment horizontal="center" vertical="center" wrapText="1"/>
    </xf>
    <xf numFmtId="0" fontId="5" fillId="0" borderId="58" xfId="1" applyFont="1" applyBorder="1" applyAlignment="1">
      <alignment horizontal="center" vertical="center" wrapText="1"/>
    </xf>
    <xf numFmtId="0" fontId="12" fillId="4" borderId="110" xfId="0" applyFont="1" applyFill="1" applyBorder="1" applyAlignment="1">
      <alignment vertical="center" wrapText="1"/>
    </xf>
    <xf numFmtId="0" fontId="5" fillId="0" borderId="37" xfId="1" applyFont="1" applyBorder="1" applyAlignment="1">
      <alignment horizontal="center" vertical="center" wrapText="1"/>
    </xf>
    <xf numFmtId="49" fontId="5" fillId="0" borderId="74" xfId="1" applyNumberFormat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wrapText="1"/>
    </xf>
    <xf numFmtId="0" fontId="5" fillId="0" borderId="111" xfId="1" applyFont="1" applyBorder="1" applyAlignment="1">
      <alignment horizontal="center" vertical="center" wrapText="1"/>
    </xf>
    <xf numFmtId="0" fontId="5" fillId="0" borderId="74" xfId="1" applyFont="1" applyBorder="1" applyAlignment="1">
      <alignment horizontal="center" vertical="center" wrapText="1"/>
    </xf>
    <xf numFmtId="0" fontId="5" fillId="0" borderId="79" xfId="1" applyFont="1" applyBorder="1" applyAlignment="1">
      <alignment horizontal="center" vertical="center" wrapText="1"/>
    </xf>
    <xf numFmtId="49" fontId="5" fillId="0" borderId="112" xfId="1" applyNumberFormat="1" applyFont="1" applyBorder="1" applyAlignment="1">
      <alignment horizontal="center" vertical="center" wrapText="1"/>
    </xf>
    <xf numFmtId="49" fontId="5" fillId="0" borderId="74" xfId="0" applyNumberFormat="1" applyFont="1" applyBorder="1" applyAlignment="1">
      <alignment horizontal="center" vertical="center" wrapText="1"/>
    </xf>
    <xf numFmtId="0" fontId="12" fillId="4" borderId="114" xfId="0" applyFont="1" applyFill="1" applyBorder="1" applyAlignment="1">
      <alignment vertical="center" wrapText="1"/>
    </xf>
    <xf numFmtId="49" fontId="5" fillId="0" borderId="23" xfId="1" applyNumberFormat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82" xfId="1" applyFont="1" applyBorder="1" applyAlignment="1">
      <alignment horizontal="center" vertical="center" wrapText="1"/>
    </xf>
    <xf numFmtId="0" fontId="5" fillId="0" borderId="115" xfId="1" applyFont="1" applyBorder="1" applyAlignment="1">
      <alignment horizontal="center" vertical="center" wrapText="1"/>
    </xf>
    <xf numFmtId="0" fontId="5" fillId="0" borderId="116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90" xfId="1" applyFont="1" applyBorder="1" applyAlignment="1">
      <alignment horizontal="center" vertical="center"/>
    </xf>
    <xf numFmtId="0" fontId="5" fillId="0" borderId="90" xfId="1" applyFont="1" applyBorder="1" applyAlignment="1">
      <alignment vertical="center" wrapText="1"/>
    </xf>
    <xf numFmtId="176" fontId="5" fillId="0" borderId="37" xfId="1" applyNumberFormat="1" applyFont="1" applyBorder="1" applyAlignment="1">
      <alignment horizontal="center" vertical="center" wrapText="1"/>
    </xf>
    <xf numFmtId="0" fontId="5" fillId="0" borderId="42" xfId="1" applyFont="1" applyBorder="1" applyAlignment="1">
      <alignment vertical="center" wrapText="1"/>
    </xf>
    <xf numFmtId="0" fontId="5" fillId="0" borderId="36" xfId="1" applyFont="1" applyBorder="1" applyAlignment="1">
      <alignment vertical="center" wrapText="1"/>
    </xf>
    <xf numFmtId="0" fontId="13" fillId="0" borderId="0" xfId="0" applyFont="1" applyAlignment="1">
      <alignment horizontal="center"/>
    </xf>
    <xf numFmtId="176" fontId="14" fillId="0" borderId="36" xfId="1" applyNumberFormat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14" fillId="0" borderId="32" xfId="1" quotePrefix="1" applyFont="1" applyBorder="1" applyAlignment="1">
      <alignment horizontal="center" vertical="center" wrapText="1"/>
    </xf>
    <xf numFmtId="0" fontId="14" fillId="3" borderId="95" xfId="1" applyFont="1" applyFill="1" applyBorder="1" applyAlignment="1">
      <alignment horizontal="center" vertical="center" wrapText="1"/>
    </xf>
    <xf numFmtId="0" fontId="14" fillId="3" borderId="36" xfId="1" applyFont="1" applyFill="1" applyBorder="1" applyAlignment="1">
      <alignment horizontal="center" vertical="center" wrapText="1"/>
    </xf>
    <xf numFmtId="176" fontId="5" fillId="0" borderId="66" xfId="1" applyNumberFormat="1" applyFont="1" applyBorder="1" applyAlignment="1">
      <alignment horizontal="center" vertical="center" wrapText="1"/>
    </xf>
    <xf numFmtId="0" fontId="5" fillId="0" borderId="66" xfId="1" quotePrefix="1" applyFont="1" applyBorder="1" applyAlignment="1">
      <alignment horizontal="center" vertical="center" wrapText="1"/>
    </xf>
    <xf numFmtId="0" fontId="5" fillId="3" borderId="64" xfId="1" applyFont="1" applyFill="1" applyBorder="1" applyAlignment="1">
      <alignment horizontal="center" vertical="center" wrapText="1"/>
    </xf>
    <xf numFmtId="0" fontId="5" fillId="3" borderId="66" xfId="1" applyFont="1" applyFill="1" applyBorder="1" applyAlignment="1">
      <alignment horizontal="center" vertical="center" wrapText="1"/>
    </xf>
    <xf numFmtId="0" fontId="5" fillId="0" borderId="63" xfId="1" applyFont="1" applyBorder="1" applyAlignment="1">
      <alignment vertical="center" wrapText="1"/>
    </xf>
    <xf numFmtId="0" fontId="5" fillId="0" borderId="49" xfId="1" quotePrefix="1" applyFont="1" applyBorder="1" applyAlignment="1">
      <alignment horizontal="center" vertical="center" wrapText="1"/>
    </xf>
    <xf numFmtId="0" fontId="5" fillId="0" borderId="32" xfId="1" quotePrefix="1" applyFont="1" applyBorder="1" applyAlignment="1">
      <alignment horizontal="center" vertical="center" wrapText="1"/>
    </xf>
    <xf numFmtId="0" fontId="5" fillId="0" borderId="117" xfId="1" applyFont="1" applyBorder="1" applyAlignment="1">
      <alignment horizontal="center" vertical="center" wrapText="1"/>
    </xf>
    <xf numFmtId="176" fontId="5" fillId="0" borderId="8" xfId="1" applyNumberFormat="1" applyFont="1" applyBorder="1" applyAlignment="1">
      <alignment horizontal="center" vertical="center" wrapText="1"/>
    </xf>
    <xf numFmtId="0" fontId="5" fillId="0" borderId="18" xfId="1" quotePrefix="1" applyFont="1" applyBorder="1" applyAlignment="1">
      <alignment horizontal="center" vertical="center" wrapText="1"/>
    </xf>
    <xf numFmtId="0" fontId="5" fillId="0" borderId="22" xfId="1" applyFont="1" applyBorder="1" applyAlignment="1">
      <alignment vertical="center" wrapText="1"/>
    </xf>
    <xf numFmtId="0" fontId="5" fillId="0" borderId="22" xfId="1" applyFont="1" applyBorder="1" applyAlignment="1">
      <alignment horizontal="center" vertical="center"/>
    </xf>
    <xf numFmtId="0" fontId="5" fillId="0" borderId="87" xfId="1" quotePrefix="1" applyFont="1" applyBorder="1" applyAlignment="1">
      <alignment horizontal="center" vertical="center" wrapText="1"/>
    </xf>
    <xf numFmtId="0" fontId="5" fillId="0" borderId="47" xfId="1" quotePrefix="1" applyFont="1" applyBorder="1" applyAlignment="1">
      <alignment horizontal="center" vertical="center" wrapText="1"/>
    </xf>
    <xf numFmtId="0" fontId="5" fillId="0" borderId="118" xfId="1" quotePrefix="1" applyFont="1" applyBorder="1" applyAlignment="1">
      <alignment horizontal="center" vertical="center" wrapText="1"/>
    </xf>
    <xf numFmtId="0" fontId="12" fillId="4" borderId="61" xfId="0" applyFont="1" applyFill="1" applyBorder="1" applyAlignment="1">
      <alignment vertical="center" wrapText="1"/>
    </xf>
    <xf numFmtId="0" fontId="5" fillId="0" borderId="63" xfId="1" applyFont="1" applyBorder="1" applyAlignment="1">
      <alignment horizontal="center" vertical="center"/>
    </xf>
    <xf numFmtId="0" fontId="5" fillId="0" borderId="109" xfId="1" applyFont="1" applyBorder="1" applyAlignment="1">
      <alignment horizontal="center" vertical="center" wrapText="1"/>
    </xf>
    <xf numFmtId="0" fontId="5" fillId="0" borderId="54" xfId="1" applyFont="1" applyBorder="1" applyAlignment="1">
      <alignment vertical="center" wrapText="1"/>
    </xf>
    <xf numFmtId="0" fontId="12" fillId="4" borderId="62" xfId="0" applyFont="1" applyFill="1" applyBorder="1" applyAlignment="1">
      <alignment vertical="center" wrapText="1"/>
    </xf>
    <xf numFmtId="0" fontId="10" fillId="0" borderId="43" xfId="1" applyFont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49" fontId="5" fillId="0" borderId="22" xfId="1" applyNumberFormat="1" applyFont="1" applyBorder="1" applyAlignment="1">
      <alignment horizontal="center" vertical="center" wrapText="1"/>
    </xf>
    <xf numFmtId="0" fontId="12" fillId="4" borderId="120" xfId="0" applyFont="1" applyFill="1" applyBorder="1" applyAlignment="1">
      <alignment vertical="center" wrapText="1"/>
    </xf>
    <xf numFmtId="0" fontId="5" fillId="0" borderId="67" xfId="1" applyFont="1" applyBorder="1" applyAlignment="1">
      <alignment horizontal="center" vertical="center"/>
    </xf>
    <xf numFmtId="0" fontId="5" fillId="3" borderId="70" xfId="1" applyFont="1" applyFill="1" applyBorder="1" applyAlignment="1">
      <alignment horizontal="center" vertical="center" wrapText="1"/>
    </xf>
    <xf numFmtId="49" fontId="5" fillId="0" borderId="63" xfId="1" applyNumberFormat="1" applyFont="1" applyBorder="1" applyAlignment="1">
      <alignment horizontal="center" vertical="center" wrapText="1"/>
    </xf>
    <xf numFmtId="0" fontId="12" fillId="4" borderId="121" xfId="0" applyFont="1" applyFill="1" applyBorder="1" applyAlignment="1">
      <alignment vertical="center" wrapText="1"/>
    </xf>
    <xf numFmtId="0" fontId="5" fillId="0" borderId="46" xfId="1" applyFont="1" applyBorder="1" applyAlignment="1">
      <alignment horizontal="center" vertical="center"/>
    </xf>
    <xf numFmtId="49" fontId="5" fillId="0" borderId="50" xfId="1" applyNumberFormat="1" applyFont="1" applyBorder="1" applyAlignment="1">
      <alignment horizontal="center" vertical="center" wrapText="1"/>
    </xf>
    <xf numFmtId="0" fontId="5" fillId="0" borderId="83" xfId="1" applyFont="1" applyBorder="1" applyAlignment="1">
      <alignment horizontal="center" vertical="center"/>
    </xf>
    <xf numFmtId="0" fontId="5" fillId="3" borderId="57" xfId="1" applyFont="1" applyFill="1" applyBorder="1" applyAlignment="1">
      <alignment horizontal="center" vertical="center" wrapText="1"/>
    </xf>
    <xf numFmtId="0" fontId="5" fillId="0" borderId="39" xfId="1" applyFont="1" applyBorder="1" applyAlignment="1">
      <alignment vertical="center" wrapText="1"/>
    </xf>
    <xf numFmtId="49" fontId="5" fillId="0" borderId="38" xfId="1" applyNumberFormat="1" applyFont="1" applyBorder="1" applyAlignment="1">
      <alignment horizontal="center" vertical="center" wrapText="1"/>
    </xf>
    <xf numFmtId="176" fontId="5" fillId="0" borderId="56" xfId="1" applyNumberFormat="1" applyFont="1" applyBorder="1" applyAlignment="1">
      <alignment horizontal="center" vertical="center" wrapText="1"/>
    </xf>
    <xf numFmtId="0" fontId="5" fillId="0" borderId="44" xfId="1" applyFont="1" applyBorder="1" applyAlignment="1">
      <alignment vertical="center" wrapText="1"/>
    </xf>
    <xf numFmtId="49" fontId="5" fillId="0" borderId="109" xfId="1" applyNumberFormat="1" applyFont="1" applyBorder="1" applyAlignment="1">
      <alignment horizontal="center" vertical="center" wrapText="1"/>
    </xf>
    <xf numFmtId="0" fontId="5" fillId="0" borderId="18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70" xfId="1" applyFont="1" applyBorder="1" applyAlignment="1">
      <alignment vertical="center" wrapText="1"/>
    </xf>
    <xf numFmtId="49" fontId="5" fillId="0" borderId="32" xfId="1" applyNumberFormat="1" applyFont="1" applyBorder="1" applyAlignment="1">
      <alignment horizontal="center" vertical="center" wrapText="1"/>
    </xf>
    <xf numFmtId="0" fontId="5" fillId="3" borderId="58" xfId="1" applyFont="1" applyFill="1" applyBorder="1" applyAlignment="1">
      <alignment horizontal="center" vertical="center" wrapText="1"/>
    </xf>
    <xf numFmtId="0" fontId="5" fillId="3" borderId="63" xfId="1" applyFont="1" applyFill="1" applyBorder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0" fontId="5" fillId="0" borderId="42" xfId="1" quotePrefix="1" applyFont="1" applyBorder="1" applyAlignment="1">
      <alignment horizontal="center" vertical="center" wrapText="1"/>
    </xf>
    <xf numFmtId="49" fontId="5" fillId="0" borderId="118" xfId="1" applyNumberFormat="1" applyFont="1" applyBorder="1" applyAlignment="1">
      <alignment horizontal="center" vertical="center" wrapText="1"/>
    </xf>
    <xf numFmtId="176" fontId="5" fillId="0" borderId="51" xfId="1" applyNumberFormat="1" applyFont="1" applyBorder="1" applyAlignment="1">
      <alignment horizontal="center" vertical="center" wrapText="1"/>
    </xf>
    <xf numFmtId="0" fontId="5" fillId="0" borderId="54" xfId="1" quotePrefix="1" applyFont="1" applyBorder="1" applyAlignment="1">
      <alignment horizontal="center" vertical="center" wrapText="1"/>
    </xf>
    <xf numFmtId="0" fontId="10" fillId="0" borderId="122" xfId="1" applyFont="1" applyBorder="1" applyAlignment="1">
      <alignment horizontal="center" vertical="center" wrapText="1"/>
    </xf>
    <xf numFmtId="0" fontId="5" fillId="0" borderId="102" xfId="1" applyFont="1" applyBorder="1" applyAlignment="1">
      <alignment horizontal="center" vertical="center"/>
    </xf>
    <xf numFmtId="0" fontId="5" fillId="3" borderId="90" xfId="1" applyFont="1" applyFill="1" applyBorder="1" applyAlignment="1">
      <alignment horizontal="center" vertical="center" wrapText="1"/>
    </xf>
    <xf numFmtId="176" fontId="5" fillId="3" borderId="102" xfId="1" applyNumberFormat="1" applyFont="1" applyFill="1" applyBorder="1" applyAlignment="1">
      <alignment horizontal="center" vertical="center" wrapText="1"/>
    </xf>
    <xf numFmtId="0" fontId="5" fillId="3" borderId="87" xfId="1" applyFont="1" applyFill="1" applyBorder="1" applyAlignment="1">
      <alignment horizontal="center" vertical="center" wrapText="1"/>
    </xf>
    <xf numFmtId="0" fontId="5" fillId="3" borderId="89" xfId="1" quotePrefix="1" applyFont="1" applyFill="1" applyBorder="1" applyAlignment="1">
      <alignment horizontal="center" vertical="center" wrapText="1"/>
    </xf>
    <xf numFmtId="0" fontId="5" fillId="0" borderId="90" xfId="1" quotePrefix="1" applyFont="1" applyBorder="1" applyAlignment="1">
      <alignment horizontal="center" vertical="center" wrapText="1"/>
    </xf>
    <xf numFmtId="0" fontId="5" fillId="0" borderId="29" xfId="1" applyFont="1" applyBorder="1" applyAlignment="1">
      <alignment vertical="center" wrapText="1"/>
    </xf>
    <xf numFmtId="0" fontId="5" fillId="0" borderId="65" xfId="1" quotePrefix="1" applyFont="1" applyBorder="1" applyAlignment="1">
      <alignment horizontal="center" vertical="center" wrapText="1"/>
    </xf>
    <xf numFmtId="0" fontId="5" fillId="0" borderId="57" xfId="1" applyFont="1" applyBorder="1" applyAlignment="1">
      <alignment vertical="center" wrapText="1"/>
    </xf>
    <xf numFmtId="49" fontId="5" fillId="0" borderId="60" xfId="1" applyNumberFormat="1" applyFont="1" applyBorder="1" applyAlignment="1">
      <alignment horizontal="center" vertical="center" wrapText="1"/>
    </xf>
    <xf numFmtId="0" fontId="5" fillId="0" borderId="60" xfId="1" applyFont="1" applyBorder="1" applyAlignment="1">
      <alignment horizontal="center" vertical="center"/>
    </xf>
    <xf numFmtId="0" fontId="5" fillId="0" borderId="87" xfId="1" applyFont="1" applyBorder="1" applyAlignment="1">
      <alignment vertical="center" wrapText="1"/>
    </xf>
    <xf numFmtId="49" fontId="5" fillId="0" borderId="76" xfId="1" applyNumberFormat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11" xfId="1" applyFont="1" applyBorder="1" applyAlignment="1">
      <alignment vertical="center" wrapText="1"/>
    </xf>
    <xf numFmtId="49" fontId="5" fillId="0" borderId="111" xfId="1" applyNumberFormat="1" applyFont="1" applyBorder="1" applyAlignment="1">
      <alignment horizontal="center" vertical="center" wrapText="1"/>
    </xf>
    <xf numFmtId="0" fontId="12" fillId="4" borderId="123" xfId="0" applyFont="1" applyFill="1" applyBorder="1" applyAlignment="1">
      <alignment vertical="center" wrapText="1"/>
    </xf>
    <xf numFmtId="0" fontId="10" fillId="0" borderId="10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10" fillId="0" borderId="1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24" xfId="0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 wrapText="1"/>
    </xf>
    <xf numFmtId="0" fontId="10" fillId="0" borderId="116" xfId="0" applyFont="1" applyBorder="1" applyAlignment="1">
      <alignment horizontal="center" vertical="center" wrapText="1"/>
    </xf>
    <xf numFmtId="0" fontId="10" fillId="0" borderId="115" xfId="0" applyFont="1" applyBorder="1" applyAlignment="1">
      <alignment horizontal="center" vertical="center" wrapText="1"/>
    </xf>
    <xf numFmtId="0" fontId="10" fillId="0" borderId="12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7" xfId="0" applyFont="1" applyBorder="1" applyAlignment="1">
      <alignment horizontal="center" vertical="center" wrapText="1"/>
    </xf>
    <xf numFmtId="0" fontId="10" fillId="0" borderId="1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1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6" xfId="1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43" xfId="0" applyBorder="1" applyAlignment="1"/>
    <xf numFmtId="0" fontId="5" fillId="0" borderId="29" xfId="1" applyFont="1" applyBorder="1" applyAlignment="1">
      <alignment horizontal="center" vertical="center" wrapText="1"/>
    </xf>
    <xf numFmtId="0" fontId="0" fillId="0" borderId="55" xfId="0" applyBorder="1" applyAlignment="1"/>
    <xf numFmtId="0" fontId="10" fillId="0" borderId="30" xfId="0" applyFont="1" applyBorder="1" applyAlignment="1">
      <alignment horizontal="center" vertical="center" wrapText="1"/>
    </xf>
    <xf numFmtId="0" fontId="0" fillId="0" borderId="62" xfId="0" applyBorder="1" applyAlignment="1"/>
    <xf numFmtId="0" fontId="5" fillId="0" borderId="144" xfId="1" applyFont="1" applyBorder="1" applyAlignment="1">
      <alignment horizontal="center" vertical="center" wrapText="1"/>
    </xf>
    <xf numFmtId="0" fontId="0" fillId="0" borderId="92" xfId="0" applyBorder="1" applyAlignment="1"/>
    <xf numFmtId="0" fontId="0" fillId="0" borderId="105" xfId="0" applyBorder="1" applyAlignment="1"/>
    <xf numFmtId="0" fontId="10" fillId="0" borderId="29" xfId="1" applyFont="1" applyBorder="1" applyAlignment="1">
      <alignment horizontal="center" vertical="center" wrapText="1"/>
    </xf>
    <xf numFmtId="0" fontId="0" fillId="0" borderId="8" xfId="0" applyBorder="1" applyAlignment="1"/>
    <xf numFmtId="0" fontId="6" fillId="2" borderId="139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6" fillId="2" borderId="141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5" fillId="0" borderId="29" xfId="0" applyFont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0" fontId="0" fillId="0" borderId="125" xfId="0" applyBorder="1" applyAlignment="1"/>
    <xf numFmtId="0" fontId="0" fillId="0" borderId="5" xfId="0" applyBorder="1" applyAlignment="1"/>
    <xf numFmtId="0" fontId="5" fillId="0" borderId="146" xfId="1" applyFont="1" applyBorder="1" applyAlignment="1">
      <alignment horizontal="center" vertical="center" wrapText="1"/>
    </xf>
    <xf numFmtId="0" fontId="0" fillId="0" borderId="119" xfId="0" applyBorder="1" applyAlignment="1"/>
    <xf numFmtId="0" fontId="5" fillId="3" borderId="29" xfId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10" fillId="0" borderId="131" xfId="0" applyFont="1" applyBorder="1" applyAlignment="1">
      <alignment horizontal="center" vertical="center" wrapText="1"/>
    </xf>
    <xf numFmtId="0" fontId="0" fillId="0" borderId="130" xfId="0" applyBorder="1" applyAlignment="1"/>
    <xf numFmtId="0" fontId="6" fillId="2" borderId="137" xfId="0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17" xfId="0" applyBorder="1" applyAlignment="1"/>
    <xf numFmtId="0" fontId="5" fillId="0" borderId="55" xfId="1" applyFont="1" applyBorder="1" applyAlignment="1">
      <alignment horizontal="center" vertical="center" wrapText="1"/>
    </xf>
    <xf numFmtId="0" fontId="5" fillId="3" borderId="13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82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6" fillId="2" borderId="143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4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10" fillId="0" borderId="29" xfId="0" applyFont="1" applyBorder="1" applyAlignment="1">
      <alignment horizontal="center" vertical="center" wrapText="1"/>
    </xf>
    <xf numFmtId="0" fontId="0" fillId="0" borderId="90" xfId="0" applyBorder="1" applyAlignment="1"/>
    <xf numFmtId="0" fontId="6" fillId="2" borderId="82" xfId="0" applyFont="1" applyFill="1" applyBorder="1" applyAlignment="1">
      <alignment horizontal="center" vertical="center" wrapText="1"/>
    </xf>
    <xf numFmtId="0" fontId="5" fillId="0" borderId="145" xfId="1" applyFont="1" applyBorder="1" applyAlignment="1">
      <alignment horizontal="center" vertical="center" wrapText="1"/>
    </xf>
    <xf numFmtId="0" fontId="0" fillId="0" borderId="113" xfId="0" applyBorder="1" applyAlignment="1"/>
    <xf numFmtId="0" fontId="8" fillId="2" borderId="142" xfId="0" applyFont="1" applyFill="1" applyBorder="1" applyAlignment="1">
      <alignment horizontal="left" vertical="top" wrapText="1"/>
    </xf>
    <xf numFmtId="0" fontId="0" fillId="0" borderId="132" xfId="0" applyBorder="1" applyAlignment="1"/>
    <xf numFmtId="0" fontId="0" fillId="0" borderId="133" xfId="0" applyBorder="1" applyAlignment="1"/>
    <xf numFmtId="0" fontId="0" fillId="0" borderId="108" xfId="0" applyBorder="1" applyAlignment="1"/>
    <xf numFmtId="0" fontId="0" fillId="0" borderId="134" xfId="0" applyBorder="1" applyAlignment="1"/>
    <xf numFmtId="0" fontId="0" fillId="0" borderId="135" xfId="0" applyBorder="1" applyAlignment="1"/>
    <xf numFmtId="0" fontId="0" fillId="0" borderId="136" xfId="0" applyBorder="1" applyAlignment="1"/>
    <xf numFmtId="0" fontId="10" fillId="0" borderId="86" xfId="0" applyFont="1" applyBorder="1" applyAlignment="1">
      <alignment horizontal="center" vertical="center" wrapText="1"/>
    </xf>
    <xf numFmtId="0" fontId="0" fillId="0" borderId="102" xfId="0" applyBorder="1" applyAlignment="1"/>
    <xf numFmtId="0" fontId="10" fillId="0" borderId="138" xfId="0" applyFont="1" applyBorder="1" applyAlignment="1">
      <alignment horizontal="center" vertical="center" wrapText="1"/>
    </xf>
    <xf numFmtId="0" fontId="0" fillId="0" borderId="129" xfId="0" applyBorder="1" applyAlignment="1"/>
    <xf numFmtId="0" fontId="6" fillId="2" borderId="140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10" fillId="0" borderId="138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0" borderId="45" xfId="1" applyFont="1" applyBorder="1" applyAlignment="1">
      <alignment horizontal="center" vertical="center" wrapText="1"/>
    </xf>
    <xf numFmtId="0" fontId="8" fillId="0" borderId="142" xfId="0" applyFont="1" applyBorder="1" applyAlignment="1">
      <alignment horizontal="center" vertical="center" wrapText="1"/>
    </xf>
    <xf numFmtId="0" fontId="10" fillId="0" borderId="81" xfId="1" applyFont="1" applyBorder="1" applyAlignment="1">
      <alignment horizontal="center" vertical="center" wrapText="1"/>
    </xf>
    <xf numFmtId="0" fontId="5" fillId="0" borderId="147" xfId="1" applyFont="1" applyBorder="1" applyAlignment="1">
      <alignment horizontal="center" vertical="center" wrapText="1"/>
    </xf>
    <xf numFmtId="0" fontId="5" fillId="3" borderId="5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2000000}"/>
  </cellStyles>
  <dxfs count="33"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3" displayName="표3" ref="E7:H112" headerRowCount="0" totalsRowShown="0" headerRowDxfId="32" dataDxfId="31" tableBorderDxfId="30">
  <tableColumns count="4">
    <tableColumn id="1" xr3:uid="{00000000-0010-0000-0000-000001000000}" name="기준_x000a_학점" headerRowDxfId="29" dataDxfId="28"/>
    <tableColumn id="2" xr3:uid="{00000000-0010-0000-0000-000002000000}" name="운영_x000a_학점" headerRowDxfId="27" dataDxfId="26"/>
    <tableColumn id="3" xr3:uid="{00000000-0010-0000-0000-000003000000}" name="세로 막대형1" headerRowDxfId="25" dataDxfId="24"/>
    <tableColumn id="4" xr3:uid="{00000000-0010-0000-0000-000004000000}" name="세로 막대형2" headerRowDxfId="23" dataDxfId="2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workbookViewId="0">
      <selection sqref="A1:P1"/>
    </sheetView>
  </sheetViews>
  <sheetFormatPr defaultRowHeight="17.600000000000001" x14ac:dyDescent="0.55000000000000004"/>
  <cols>
    <col min="1" max="1" width="4.42578125" style="373" customWidth="1"/>
    <col min="2" max="2" width="13" style="374" customWidth="1"/>
    <col min="3" max="3" width="7.5703125" style="374" customWidth="1"/>
    <col min="4" max="4" width="22" style="374" customWidth="1"/>
    <col min="5" max="12" width="5.78515625" style="374" customWidth="1"/>
    <col min="13" max="14" width="13.7109375" style="374" customWidth="1"/>
    <col min="15" max="16" width="5.78515625" style="374" customWidth="1"/>
    <col min="17" max="17" width="38.5703125" style="1" bestFit="1" customWidth="1"/>
    <col min="18" max="246" width="8.78515625" style="1" customWidth="1"/>
    <col min="247" max="247" width="3.5703125" style="1" customWidth="1"/>
    <col min="248" max="250" width="5.78515625" style="1" customWidth="1"/>
    <col min="251" max="251" width="11.0703125" style="1" customWidth="1"/>
    <col min="252" max="259" width="5.78515625" style="1" customWidth="1"/>
    <col min="260" max="260" width="7.0703125" style="1" customWidth="1"/>
    <col min="261" max="262" width="5.78515625" style="1" customWidth="1"/>
    <col min="263" max="263" width="6" style="1" customWidth="1"/>
    <col min="264" max="502" width="8.78515625" style="1" customWidth="1"/>
    <col min="503" max="503" width="3.5703125" style="1" customWidth="1"/>
    <col min="504" max="506" width="5.78515625" style="1" customWidth="1"/>
    <col min="507" max="507" width="11.0703125" style="1" customWidth="1"/>
    <col min="508" max="515" width="5.78515625" style="1" customWidth="1"/>
    <col min="516" max="516" width="7.0703125" style="1" customWidth="1"/>
    <col min="517" max="518" width="5.78515625" style="1" customWidth="1"/>
    <col min="519" max="519" width="6" style="1" customWidth="1"/>
    <col min="520" max="758" width="8.78515625" style="1" customWidth="1"/>
    <col min="759" max="759" width="3.5703125" style="1" customWidth="1"/>
    <col min="760" max="762" width="5.78515625" style="1" customWidth="1"/>
    <col min="763" max="763" width="11.0703125" style="1" customWidth="1"/>
    <col min="764" max="771" width="5.78515625" style="1" customWidth="1"/>
    <col min="772" max="772" width="7.0703125" style="1" customWidth="1"/>
    <col min="773" max="774" width="5.78515625" style="1" customWidth="1"/>
    <col min="775" max="775" width="6" style="1" customWidth="1"/>
    <col min="776" max="1014" width="8.78515625" style="1" customWidth="1"/>
    <col min="1015" max="1015" width="3.5703125" style="1" customWidth="1"/>
    <col min="1016" max="1018" width="5.78515625" style="1" customWidth="1"/>
    <col min="1019" max="1019" width="11.0703125" style="1" customWidth="1"/>
    <col min="1020" max="1027" width="5.78515625" style="1" customWidth="1"/>
    <col min="1028" max="1028" width="7.0703125" style="1" customWidth="1"/>
    <col min="1029" max="1030" width="5.78515625" style="1" customWidth="1"/>
    <col min="1031" max="1031" width="6" style="1" customWidth="1"/>
    <col min="1032" max="1270" width="8.78515625" style="1" customWidth="1"/>
    <col min="1271" max="1271" width="3.5703125" style="1" customWidth="1"/>
    <col min="1272" max="1274" width="5.78515625" style="1" customWidth="1"/>
    <col min="1275" max="1275" width="11.0703125" style="1" customWidth="1"/>
    <col min="1276" max="1283" width="5.78515625" style="1" customWidth="1"/>
    <col min="1284" max="1284" width="7.0703125" style="1" customWidth="1"/>
    <col min="1285" max="1286" width="5.78515625" style="1" customWidth="1"/>
    <col min="1287" max="1287" width="6" style="1" customWidth="1"/>
    <col min="1288" max="1526" width="8.78515625" style="1" customWidth="1"/>
    <col min="1527" max="1527" width="3.5703125" style="1" customWidth="1"/>
    <col min="1528" max="1530" width="5.78515625" style="1" customWidth="1"/>
    <col min="1531" max="1531" width="11.0703125" style="1" customWidth="1"/>
    <col min="1532" max="1539" width="5.78515625" style="1" customWidth="1"/>
    <col min="1540" max="1540" width="7.0703125" style="1" customWidth="1"/>
    <col min="1541" max="1542" width="5.78515625" style="1" customWidth="1"/>
    <col min="1543" max="1543" width="6" style="1" customWidth="1"/>
    <col min="1544" max="1782" width="8.78515625" style="1" customWidth="1"/>
    <col min="1783" max="1783" width="3.5703125" style="1" customWidth="1"/>
    <col min="1784" max="1786" width="5.78515625" style="1" customWidth="1"/>
    <col min="1787" max="1787" width="11.0703125" style="1" customWidth="1"/>
    <col min="1788" max="1795" width="5.78515625" style="1" customWidth="1"/>
    <col min="1796" max="1796" width="7.0703125" style="1" customWidth="1"/>
    <col min="1797" max="1798" width="5.78515625" style="1" customWidth="1"/>
    <col min="1799" max="1799" width="6" style="1" customWidth="1"/>
    <col min="1800" max="2038" width="8.78515625" style="1" customWidth="1"/>
    <col min="2039" max="2039" width="3.5703125" style="1" customWidth="1"/>
    <col min="2040" max="2042" width="5.78515625" style="1" customWidth="1"/>
    <col min="2043" max="2043" width="11.0703125" style="1" customWidth="1"/>
    <col min="2044" max="2051" width="5.78515625" style="1" customWidth="1"/>
    <col min="2052" max="2052" width="7.0703125" style="1" customWidth="1"/>
    <col min="2053" max="2054" width="5.78515625" style="1" customWidth="1"/>
    <col min="2055" max="2055" width="6" style="1" customWidth="1"/>
    <col min="2056" max="2294" width="8.78515625" style="1" customWidth="1"/>
    <col min="2295" max="2295" width="3.5703125" style="1" customWidth="1"/>
    <col min="2296" max="2298" width="5.78515625" style="1" customWidth="1"/>
    <col min="2299" max="2299" width="11.0703125" style="1" customWidth="1"/>
    <col min="2300" max="2307" width="5.78515625" style="1" customWidth="1"/>
    <col min="2308" max="2308" width="7.0703125" style="1" customWidth="1"/>
    <col min="2309" max="2310" width="5.78515625" style="1" customWidth="1"/>
    <col min="2311" max="2311" width="6" style="1" customWidth="1"/>
    <col min="2312" max="2550" width="8.78515625" style="1" customWidth="1"/>
    <col min="2551" max="2551" width="3.5703125" style="1" customWidth="1"/>
    <col min="2552" max="2554" width="5.78515625" style="1" customWidth="1"/>
    <col min="2555" max="2555" width="11.0703125" style="1" customWidth="1"/>
    <col min="2556" max="2563" width="5.78515625" style="1" customWidth="1"/>
    <col min="2564" max="2564" width="7.0703125" style="1" customWidth="1"/>
    <col min="2565" max="2566" width="5.78515625" style="1" customWidth="1"/>
    <col min="2567" max="2567" width="6" style="1" customWidth="1"/>
    <col min="2568" max="2806" width="8.78515625" style="1" customWidth="1"/>
    <col min="2807" max="2807" width="3.5703125" style="1" customWidth="1"/>
    <col min="2808" max="2810" width="5.78515625" style="1" customWidth="1"/>
    <col min="2811" max="2811" width="11.0703125" style="1" customWidth="1"/>
    <col min="2812" max="2819" width="5.78515625" style="1" customWidth="1"/>
    <col min="2820" max="2820" width="7.0703125" style="1" customWidth="1"/>
    <col min="2821" max="2822" width="5.78515625" style="1" customWidth="1"/>
    <col min="2823" max="2823" width="6" style="1" customWidth="1"/>
    <col min="2824" max="3062" width="8.78515625" style="1" customWidth="1"/>
    <col min="3063" max="3063" width="3.5703125" style="1" customWidth="1"/>
    <col min="3064" max="3066" width="5.78515625" style="1" customWidth="1"/>
    <col min="3067" max="3067" width="11.0703125" style="1" customWidth="1"/>
    <col min="3068" max="3075" width="5.78515625" style="1" customWidth="1"/>
    <col min="3076" max="3076" width="7.0703125" style="1" customWidth="1"/>
    <col min="3077" max="3078" width="5.78515625" style="1" customWidth="1"/>
    <col min="3079" max="3079" width="6" style="1" customWidth="1"/>
    <col min="3080" max="3318" width="8.78515625" style="1" customWidth="1"/>
    <col min="3319" max="3319" width="3.5703125" style="1" customWidth="1"/>
    <col min="3320" max="3322" width="5.78515625" style="1" customWidth="1"/>
    <col min="3323" max="3323" width="11.0703125" style="1" customWidth="1"/>
    <col min="3324" max="3331" width="5.78515625" style="1" customWidth="1"/>
    <col min="3332" max="3332" width="7.0703125" style="1" customWidth="1"/>
    <col min="3333" max="3334" width="5.78515625" style="1" customWidth="1"/>
    <col min="3335" max="3335" width="6" style="1" customWidth="1"/>
    <col min="3336" max="3574" width="8.78515625" style="1" customWidth="1"/>
    <col min="3575" max="3575" width="3.5703125" style="1" customWidth="1"/>
    <col min="3576" max="3578" width="5.78515625" style="1" customWidth="1"/>
    <col min="3579" max="3579" width="11.0703125" style="1" customWidth="1"/>
    <col min="3580" max="3587" width="5.78515625" style="1" customWidth="1"/>
    <col min="3588" max="3588" width="7.0703125" style="1" customWidth="1"/>
    <col min="3589" max="3590" width="5.78515625" style="1" customWidth="1"/>
    <col min="3591" max="3591" width="6" style="1" customWidth="1"/>
    <col min="3592" max="3830" width="8.78515625" style="1" customWidth="1"/>
    <col min="3831" max="3831" width="3.5703125" style="1" customWidth="1"/>
    <col min="3832" max="3834" width="5.78515625" style="1" customWidth="1"/>
    <col min="3835" max="3835" width="11.0703125" style="1" customWidth="1"/>
    <col min="3836" max="3843" width="5.78515625" style="1" customWidth="1"/>
    <col min="3844" max="3844" width="7.0703125" style="1" customWidth="1"/>
    <col min="3845" max="3846" width="5.78515625" style="1" customWidth="1"/>
    <col min="3847" max="3847" width="6" style="1" customWidth="1"/>
    <col min="3848" max="4086" width="8.78515625" style="1" customWidth="1"/>
    <col min="4087" max="4087" width="3.5703125" style="1" customWidth="1"/>
    <col min="4088" max="4090" width="5.78515625" style="1" customWidth="1"/>
    <col min="4091" max="4091" width="11.0703125" style="1" customWidth="1"/>
    <col min="4092" max="4099" width="5.78515625" style="1" customWidth="1"/>
    <col min="4100" max="4100" width="7.0703125" style="1" customWidth="1"/>
    <col min="4101" max="4102" width="5.78515625" style="1" customWidth="1"/>
    <col min="4103" max="4103" width="6" style="1" customWidth="1"/>
    <col min="4104" max="4342" width="8.78515625" style="1" customWidth="1"/>
    <col min="4343" max="4343" width="3.5703125" style="1" customWidth="1"/>
    <col min="4344" max="4346" width="5.78515625" style="1" customWidth="1"/>
    <col min="4347" max="4347" width="11.0703125" style="1" customWidth="1"/>
    <col min="4348" max="4355" width="5.78515625" style="1" customWidth="1"/>
    <col min="4356" max="4356" width="7.0703125" style="1" customWidth="1"/>
    <col min="4357" max="4358" width="5.78515625" style="1" customWidth="1"/>
    <col min="4359" max="4359" width="6" style="1" customWidth="1"/>
    <col min="4360" max="4598" width="8.78515625" style="1" customWidth="1"/>
    <col min="4599" max="4599" width="3.5703125" style="1" customWidth="1"/>
    <col min="4600" max="4602" width="5.78515625" style="1" customWidth="1"/>
    <col min="4603" max="4603" width="11.0703125" style="1" customWidth="1"/>
    <col min="4604" max="4611" width="5.78515625" style="1" customWidth="1"/>
    <col min="4612" max="4612" width="7.0703125" style="1" customWidth="1"/>
    <col min="4613" max="4614" width="5.78515625" style="1" customWidth="1"/>
    <col min="4615" max="4615" width="6" style="1" customWidth="1"/>
    <col min="4616" max="4854" width="8.78515625" style="1" customWidth="1"/>
    <col min="4855" max="4855" width="3.5703125" style="1" customWidth="1"/>
    <col min="4856" max="4858" width="5.78515625" style="1" customWidth="1"/>
    <col min="4859" max="4859" width="11.0703125" style="1" customWidth="1"/>
    <col min="4860" max="4867" width="5.78515625" style="1" customWidth="1"/>
    <col min="4868" max="4868" width="7.0703125" style="1" customWidth="1"/>
    <col min="4869" max="4870" width="5.78515625" style="1" customWidth="1"/>
    <col min="4871" max="4871" width="6" style="1" customWidth="1"/>
    <col min="4872" max="5110" width="8.78515625" style="1" customWidth="1"/>
    <col min="5111" max="5111" width="3.5703125" style="1" customWidth="1"/>
    <col min="5112" max="5114" width="5.78515625" style="1" customWidth="1"/>
    <col min="5115" max="5115" width="11.0703125" style="1" customWidth="1"/>
    <col min="5116" max="5123" width="5.78515625" style="1" customWidth="1"/>
    <col min="5124" max="5124" width="7.0703125" style="1" customWidth="1"/>
    <col min="5125" max="5126" width="5.78515625" style="1" customWidth="1"/>
    <col min="5127" max="5127" width="6" style="1" customWidth="1"/>
    <col min="5128" max="5366" width="8.78515625" style="1" customWidth="1"/>
    <col min="5367" max="5367" width="3.5703125" style="1" customWidth="1"/>
    <col min="5368" max="5370" width="5.78515625" style="1" customWidth="1"/>
    <col min="5371" max="5371" width="11.0703125" style="1" customWidth="1"/>
    <col min="5372" max="5379" width="5.78515625" style="1" customWidth="1"/>
    <col min="5380" max="5380" width="7.0703125" style="1" customWidth="1"/>
    <col min="5381" max="5382" width="5.78515625" style="1" customWidth="1"/>
    <col min="5383" max="5383" width="6" style="1" customWidth="1"/>
    <col min="5384" max="5622" width="8.78515625" style="1" customWidth="1"/>
    <col min="5623" max="5623" width="3.5703125" style="1" customWidth="1"/>
    <col min="5624" max="5626" width="5.78515625" style="1" customWidth="1"/>
    <col min="5627" max="5627" width="11.0703125" style="1" customWidth="1"/>
    <col min="5628" max="5635" width="5.78515625" style="1" customWidth="1"/>
    <col min="5636" max="5636" width="7.0703125" style="1" customWidth="1"/>
    <col min="5637" max="5638" width="5.78515625" style="1" customWidth="1"/>
    <col min="5639" max="5639" width="6" style="1" customWidth="1"/>
    <col min="5640" max="5878" width="8.78515625" style="1" customWidth="1"/>
    <col min="5879" max="5879" width="3.5703125" style="1" customWidth="1"/>
    <col min="5880" max="5882" width="5.78515625" style="1" customWidth="1"/>
    <col min="5883" max="5883" width="11.0703125" style="1" customWidth="1"/>
    <col min="5884" max="5891" width="5.78515625" style="1" customWidth="1"/>
    <col min="5892" max="5892" width="7.0703125" style="1" customWidth="1"/>
    <col min="5893" max="5894" width="5.78515625" style="1" customWidth="1"/>
    <col min="5895" max="5895" width="6" style="1" customWidth="1"/>
    <col min="5896" max="6134" width="8.78515625" style="1" customWidth="1"/>
    <col min="6135" max="6135" width="3.5703125" style="1" customWidth="1"/>
    <col min="6136" max="6138" width="5.78515625" style="1" customWidth="1"/>
    <col min="6139" max="6139" width="11.0703125" style="1" customWidth="1"/>
    <col min="6140" max="6147" width="5.78515625" style="1" customWidth="1"/>
    <col min="6148" max="6148" width="7.0703125" style="1" customWidth="1"/>
    <col min="6149" max="6150" width="5.78515625" style="1" customWidth="1"/>
    <col min="6151" max="6151" width="6" style="1" customWidth="1"/>
    <col min="6152" max="6390" width="8.78515625" style="1" customWidth="1"/>
    <col min="6391" max="6391" width="3.5703125" style="1" customWidth="1"/>
    <col min="6392" max="6394" width="5.78515625" style="1" customWidth="1"/>
    <col min="6395" max="6395" width="11.0703125" style="1" customWidth="1"/>
    <col min="6396" max="6403" width="5.78515625" style="1" customWidth="1"/>
    <col min="6404" max="6404" width="7.0703125" style="1" customWidth="1"/>
    <col min="6405" max="6406" width="5.78515625" style="1" customWidth="1"/>
    <col min="6407" max="6407" width="6" style="1" customWidth="1"/>
    <col min="6408" max="6646" width="8.78515625" style="1" customWidth="1"/>
    <col min="6647" max="6647" width="3.5703125" style="1" customWidth="1"/>
    <col min="6648" max="6650" width="5.78515625" style="1" customWidth="1"/>
    <col min="6651" max="6651" width="11.0703125" style="1" customWidth="1"/>
    <col min="6652" max="6659" width="5.78515625" style="1" customWidth="1"/>
    <col min="6660" max="6660" width="7.0703125" style="1" customWidth="1"/>
    <col min="6661" max="6662" width="5.78515625" style="1" customWidth="1"/>
    <col min="6663" max="6663" width="6" style="1" customWidth="1"/>
    <col min="6664" max="6902" width="8.78515625" style="1" customWidth="1"/>
    <col min="6903" max="6903" width="3.5703125" style="1" customWidth="1"/>
    <col min="6904" max="6906" width="5.78515625" style="1" customWidth="1"/>
    <col min="6907" max="6907" width="11.0703125" style="1" customWidth="1"/>
    <col min="6908" max="6915" width="5.78515625" style="1" customWidth="1"/>
    <col min="6916" max="6916" width="7.0703125" style="1" customWidth="1"/>
    <col min="6917" max="6918" width="5.78515625" style="1" customWidth="1"/>
    <col min="6919" max="6919" width="6" style="1" customWidth="1"/>
    <col min="6920" max="7158" width="8.78515625" style="1" customWidth="1"/>
    <col min="7159" max="7159" width="3.5703125" style="1" customWidth="1"/>
    <col min="7160" max="7162" width="5.78515625" style="1" customWidth="1"/>
    <col min="7163" max="7163" width="11.0703125" style="1" customWidth="1"/>
    <col min="7164" max="7171" width="5.78515625" style="1" customWidth="1"/>
    <col min="7172" max="7172" width="7.0703125" style="1" customWidth="1"/>
    <col min="7173" max="7174" width="5.78515625" style="1" customWidth="1"/>
    <col min="7175" max="7175" width="6" style="1" customWidth="1"/>
    <col min="7176" max="7414" width="8.78515625" style="1" customWidth="1"/>
    <col min="7415" max="7415" width="3.5703125" style="1" customWidth="1"/>
    <col min="7416" max="7418" width="5.78515625" style="1" customWidth="1"/>
    <col min="7419" max="7419" width="11.0703125" style="1" customWidth="1"/>
    <col min="7420" max="7427" width="5.78515625" style="1" customWidth="1"/>
    <col min="7428" max="7428" width="7.0703125" style="1" customWidth="1"/>
    <col min="7429" max="7430" width="5.78515625" style="1" customWidth="1"/>
    <col min="7431" max="7431" width="6" style="1" customWidth="1"/>
    <col min="7432" max="7670" width="8.78515625" style="1" customWidth="1"/>
    <col min="7671" max="7671" width="3.5703125" style="1" customWidth="1"/>
    <col min="7672" max="7674" width="5.78515625" style="1" customWidth="1"/>
    <col min="7675" max="7675" width="11.0703125" style="1" customWidth="1"/>
    <col min="7676" max="7683" width="5.78515625" style="1" customWidth="1"/>
    <col min="7684" max="7684" width="7.0703125" style="1" customWidth="1"/>
    <col min="7685" max="7686" width="5.78515625" style="1" customWidth="1"/>
    <col min="7687" max="7687" width="6" style="1" customWidth="1"/>
    <col min="7688" max="7926" width="8.78515625" style="1" customWidth="1"/>
    <col min="7927" max="7927" width="3.5703125" style="1" customWidth="1"/>
    <col min="7928" max="7930" width="5.78515625" style="1" customWidth="1"/>
    <col min="7931" max="7931" width="11.0703125" style="1" customWidth="1"/>
    <col min="7932" max="7939" width="5.78515625" style="1" customWidth="1"/>
    <col min="7940" max="7940" width="7.0703125" style="1" customWidth="1"/>
    <col min="7941" max="7942" width="5.78515625" style="1" customWidth="1"/>
    <col min="7943" max="7943" width="6" style="1" customWidth="1"/>
    <col min="7944" max="8182" width="8.78515625" style="1" customWidth="1"/>
    <col min="8183" max="8183" width="3.5703125" style="1" customWidth="1"/>
    <col min="8184" max="8186" width="5.78515625" style="1" customWidth="1"/>
    <col min="8187" max="8187" width="11.0703125" style="1" customWidth="1"/>
    <col min="8188" max="8195" width="5.78515625" style="1" customWidth="1"/>
    <col min="8196" max="8196" width="7.0703125" style="1" customWidth="1"/>
    <col min="8197" max="8198" width="5.78515625" style="1" customWidth="1"/>
    <col min="8199" max="8199" width="6" style="1" customWidth="1"/>
    <col min="8200" max="8438" width="8.78515625" style="1" customWidth="1"/>
    <col min="8439" max="8439" width="3.5703125" style="1" customWidth="1"/>
    <col min="8440" max="8442" width="5.78515625" style="1" customWidth="1"/>
    <col min="8443" max="8443" width="11.0703125" style="1" customWidth="1"/>
    <col min="8444" max="8451" width="5.78515625" style="1" customWidth="1"/>
    <col min="8452" max="8452" width="7.0703125" style="1" customWidth="1"/>
    <col min="8453" max="8454" width="5.78515625" style="1" customWidth="1"/>
    <col min="8455" max="8455" width="6" style="1" customWidth="1"/>
    <col min="8456" max="8694" width="8.78515625" style="1" customWidth="1"/>
    <col min="8695" max="8695" width="3.5703125" style="1" customWidth="1"/>
    <col min="8696" max="8698" width="5.78515625" style="1" customWidth="1"/>
    <col min="8699" max="8699" width="11.0703125" style="1" customWidth="1"/>
    <col min="8700" max="8707" width="5.78515625" style="1" customWidth="1"/>
    <col min="8708" max="8708" width="7.0703125" style="1" customWidth="1"/>
    <col min="8709" max="8710" width="5.78515625" style="1" customWidth="1"/>
    <col min="8711" max="8711" width="6" style="1" customWidth="1"/>
    <col min="8712" max="8950" width="8.78515625" style="1" customWidth="1"/>
    <col min="8951" max="8951" width="3.5703125" style="1" customWidth="1"/>
    <col min="8952" max="8954" width="5.78515625" style="1" customWidth="1"/>
    <col min="8955" max="8955" width="11.0703125" style="1" customWidth="1"/>
    <col min="8956" max="8963" width="5.78515625" style="1" customWidth="1"/>
    <col min="8964" max="8964" width="7.0703125" style="1" customWidth="1"/>
    <col min="8965" max="8966" width="5.78515625" style="1" customWidth="1"/>
    <col min="8967" max="8967" width="6" style="1" customWidth="1"/>
    <col min="8968" max="9206" width="8.78515625" style="1" customWidth="1"/>
    <col min="9207" max="9207" width="3.5703125" style="1" customWidth="1"/>
    <col min="9208" max="9210" width="5.78515625" style="1" customWidth="1"/>
    <col min="9211" max="9211" width="11.0703125" style="1" customWidth="1"/>
    <col min="9212" max="9219" width="5.78515625" style="1" customWidth="1"/>
    <col min="9220" max="9220" width="7.0703125" style="1" customWidth="1"/>
    <col min="9221" max="9222" width="5.78515625" style="1" customWidth="1"/>
    <col min="9223" max="9223" width="6" style="1" customWidth="1"/>
    <col min="9224" max="9462" width="8.78515625" style="1" customWidth="1"/>
    <col min="9463" max="9463" width="3.5703125" style="1" customWidth="1"/>
    <col min="9464" max="9466" width="5.78515625" style="1" customWidth="1"/>
    <col min="9467" max="9467" width="11.0703125" style="1" customWidth="1"/>
    <col min="9468" max="9475" width="5.78515625" style="1" customWidth="1"/>
    <col min="9476" max="9476" width="7.0703125" style="1" customWidth="1"/>
    <col min="9477" max="9478" width="5.78515625" style="1" customWidth="1"/>
    <col min="9479" max="9479" width="6" style="1" customWidth="1"/>
    <col min="9480" max="9718" width="8.78515625" style="1" customWidth="1"/>
    <col min="9719" max="9719" width="3.5703125" style="1" customWidth="1"/>
    <col min="9720" max="9722" width="5.78515625" style="1" customWidth="1"/>
    <col min="9723" max="9723" width="11.0703125" style="1" customWidth="1"/>
    <col min="9724" max="9731" width="5.78515625" style="1" customWidth="1"/>
    <col min="9732" max="9732" width="7.0703125" style="1" customWidth="1"/>
    <col min="9733" max="9734" width="5.78515625" style="1" customWidth="1"/>
    <col min="9735" max="9735" width="6" style="1" customWidth="1"/>
    <col min="9736" max="9974" width="8.78515625" style="1" customWidth="1"/>
    <col min="9975" max="9975" width="3.5703125" style="1" customWidth="1"/>
    <col min="9976" max="9978" width="5.78515625" style="1" customWidth="1"/>
    <col min="9979" max="9979" width="11.0703125" style="1" customWidth="1"/>
    <col min="9980" max="9987" width="5.78515625" style="1" customWidth="1"/>
    <col min="9988" max="9988" width="7.0703125" style="1" customWidth="1"/>
    <col min="9989" max="9990" width="5.78515625" style="1" customWidth="1"/>
    <col min="9991" max="9991" width="6" style="1" customWidth="1"/>
    <col min="9992" max="10230" width="8.78515625" style="1" customWidth="1"/>
    <col min="10231" max="10231" width="3.5703125" style="1" customWidth="1"/>
    <col min="10232" max="10234" width="5.78515625" style="1" customWidth="1"/>
    <col min="10235" max="10235" width="11.0703125" style="1" customWidth="1"/>
    <col min="10236" max="10243" width="5.78515625" style="1" customWidth="1"/>
    <col min="10244" max="10244" width="7.0703125" style="1" customWidth="1"/>
    <col min="10245" max="10246" width="5.78515625" style="1" customWidth="1"/>
    <col min="10247" max="10247" width="6" style="1" customWidth="1"/>
    <col min="10248" max="10486" width="8.78515625" style="1" customWidth="1"/>
    <col min="10487" max="10487" width="3.5703125" style="1" customWidth="1"/>
    <col min="10488" max="10490" width="5.78515625" style="1" customWidth="1"/>
    <col min="10491" max="10491" width="11.0703125" style="1" customWidth="1"/>
    <col min="10492" max="10499" width="5.78515625" style="1" customWidth="1"/>
    <col min="10500" max="10500" width="7.0703125" style="1" customWidth="1"/>
    <col min="10501" max="10502" width="5.78515625" style="1" customWidth="1"/>
    <col min="10503" max="10503" width="6" style="1" customWidth="1"/>
    <col min="10504" max="10742" width="8.78515625" style="1" customWidth="1"/>
    <col min="10743" max="10743" width="3.5703125" style="1" customWidth="1"/>
    <col min="10744" max="10746" width="5.78515625" style="1" customWidth="1"/>
    <col min="10747" max="10747" width="11.0703125" style="1" customWidth="1"/>
    <col min="10748" max="10755" width="5.78515625" style="1" customWidth="1"/>
    <col min="10756" max="10756" width="7.0703125" style="1" customWidth="1"/>
    <col min="10757" max="10758" width="5.78515625" style="1" customWidth="1"/>
    <col min="10759" max="10759" width="6" style="1" customWidth="1"/>
    <col min="10760" max="10998" width="8.78515625" style="1" customWidth="1"/>
    <col min="10999" max="10999" width="3.5703125" style="1" customWidth="1"/>
    <col min="11000" max="11002" width="5.78515625" style="1" customWidth="1"/>
    <col min="11003" max="11003" width="11.0703125" style="1" customWidth="1"/>
    <col min="11004" max="11011" width="5.78515625" style="1" customWidth="1"/>
    <col min="11012" max="11012" width="7.0703125" style="1" customWidth="1"/>
    <col min="11013" max="11014" width="5.78515625" style="1" customWidth="1"/>
    <col min="11015" max="11015" width="6" style="1" customWidth="1"/>
    <col min="11016" max="11254" width="8.78515625" style="1" customWidth="1"/>
    <col min="11255" max="11255" width="3.5703125" style="1" customWidth="1"/>
    <col min="11256" max="11258" width="5.78515625" style="1" customWidth="1"/>
    <col min="11259" max="11259" width="11.0703125" style="1" customWidth="1"/>
    <col min="11260" max="11267" width="5.78515625" style="1" customWidth="1"/>
    <col min="11268" max="11268" width="7.0703125" style="1" customWidth="1"/>
    <col min="11269" max="11270" width="5.78515625" style="1" customWidth="1"/>
    <col min="11271" max="11271" width="6" style="1" customWidth="1"/>
    <col min="11272" max="11510" width="8.78515625" style="1" customWidth="1"/>
    <col min="11511" max="11511" width="3.5703125" style="1" customWidth="1"/>
    <col min="11512" max="11514" width="5.78515625" style="1" customWidth="1"/>
    <col min="11515" max="11515" width="11.0703125" style="1" customWidth="1"/>
    <col min="11516" max="11523" width="5.78515625" style="1" customWidth="1"/>
    <col min="11524" max="11524" width="7.0703125" style="1" customWidth="1"/>
    <col min="11525" max="11526" width="5.78515625" style="1" customWidth="1"/>
    <col min="11527" max="11527" width="6" style="1" customWidth="1"/>
    <col min="11528" max="11766" width="8.78515625" style="1" customWidth="1"/>
    <col min="11767" max="11767" width="3.5703125" style="1" customWidth="1"/>
    <col min="11768" max="11770" width="5.78515625" style="1" customWidth="1"/>
    <col min="11771" max="11771" width="11.0703125" style="1" customWidth="1"/>
    <col min="11772" max="11779" width="5.78515625" style="1" customWidth="1"/>
    <col min="11780" max="11780" width="7.0703125" style="1" customWidth="1"/>
    <col min="11781" max="11782" width="5.78515625" style="1" customWidth="1"/>
    <col min="11783" max="11783" width="6" style="1" customWidth="1"/>
    <col min="11784" max="12022" width="8.78515625" style="1" customWidth="1"/>
    <col min="12023" max="12023" width="3.5703125" style="1" customWidth="1"/>
    <col min="12024" max="12026" width="5.78515625" style="1" customWidth="1"/>
    <col min="12027" max="12027" width="11.0703125" style="1" customWidth="1"/>
    <col min="12028" max="12035" width="5.78515625" style="1" customWidth="1"/>
    <col min="12036" max="12036" width="7.0703125" style="1" customWidth="1"/>
    <col min="12037" max="12038" width="5.78515625" style="1" customWidth="1"/>
    <col min="12039" max="12039" width="6" style="1" customWidth="1"/>
    <col min="12040" max="12278" width="8.78515625" style="1" customWidth="1"/>
    <col min="12279" max="12279" width="3.5703125" style="1" customWidth="1"/>
    <col min="12280" max="12282" width="5.78515625" style="1" customWidth="1"/>
    <col min="12283" max="12283" width="11.0703125" style="1" customWidth="1"/>
    <col min="12284" max="12291" width="5.78515625" style="1" customWidth="1"/>
    <col min="12292" max="12292" width="7.0703125" style="1" customWidth="1"/>
    <col min="12293" max="12294" width="5.78515625" style="1" customWidth="1"/>
    <col min="12295" max="12295" width="6" style="1" customWidth="1"/>
    <col min="12296" max="12534" width="8.78515625" style="1" customWidth="1"/>
    <col min="12535" max="12535" width="3.5703125" style="1" customWidth="1"/>
    <col min="12536" max="12538" width="5.78515625" style="1" customWidth="1"/>
    <col min="12539" max="12539" width="11.0703125" style="1" customWidth="1"/>
    <col min="12540" max="12547" width="5.78515625" style="1" customWidth="1"/>
    <col min="12548" max="12548" width="7.0703125" style="1" customWidth="1"/>
    <col min="12549" max="12550" width="5.78515625" style="1" customWidth="1"/>
    <col min="12551" max="12551" width="6" style="1" customWidth="1"/>
    <col min="12552" max="12790" width="8.78515625" style="1" customWidth="1"/>
    <col min="12791" max="12791" width="3.5703125" style="1" customWidth="1"/>
    <col min="12792" max="12794" width="5.78515625" style="1" customWidth="1"/>
    <col min="12795" max="12795" width="11.0703125" style="1" customWidth="1"/>
    <col min="12796" max="12803" width="5.78515625" style="1" customWidth="1"/>
    <col min="12804" max="12804" width="7.0703125" style="1" customWidth="1"/>
    <col min="12805" max="12806" width="5.78515625" style="1" customWidth="1"/>
    <col min="12807" max="12807" width="6" style="1" customWidth="1"/>
    <col min="12808" max="13046" width="8.78515625" style="1" customWidth="1"/>
    <col min="13047" max="13047" width="3.5703125" style="1" customWidth="1"/>
    <col min="13048" max="13050" width="5.78515625" style="1" customWidth="1"/>
    <col min="13051" max="13051" width="11.0703125" style="1" customWidth="1"/>
    <col min="13052" max="13059" width="5.78515625" style="1" customWidth="1"/>
    <col min="13060" max="13060" width="7.0703125" style="1" customWidth="1"/>
    <col min="13061" max="13062" width="5.78515625" style="1" customWidth="1"/>
    <col min="13063" max="13063" width="6" style="1" customWidth="1"/>
    <col min="13064" max="13302" width="8.78515625" style="1" customWidth="1"/>
    <col min="13303" max="13303" width="3.5703125" style="1" customWidth="1"/>
    <col min="13304" max="13306" width="5.78515625" style="1" customWidth="1"/>
    <col min="13307" max="13307" width="11.0703125" style="1" customWidth="1"/>
    <col min="13308" max="13315" width="5.78515625" style="1" customWidth="1"/>
    <col min="13316" max="13316" width="7.0703125" style="1" customWidth="1"/>
    <col min="13317" max="13318" width="5.78515625" style="1" customWidth="1"/>
    <col min="13319" max="13319" width="6" style="1" customWidth="1"/>
    <col min="13320" max="13558" width="8.78515625" style="1" customWidth="1"/>
    <col min="13559" max="13559" width="3.5703125" style="1" customWidth="1"/>
    <col min="13560" max="13562" width="5.78515625" style="1" customWidth="1"/>
    <col min="13563" max="13563" width="11.0703125" style="1" customWidth="1"/>
    <col min="13564" max="13571" width="5.78515625" style="1" customWidth="1"/>
    <col min="13572" max="13572" width="7.0703125" style="1" customWidth="1"/>
    <col min="13573" max="13574" width="5.78515625" style="1" customWidth="1"/>
    <col min="13575" max="13575" width="6" style="1" customWidth="1"/>
    <col min="13576" max="13814" width="8.78515625" style="1" customWidth="1"/>
    <col min="13815" max="13815" width="3.5703125" style="1" customWidth="1"/>
    <col min="13816" max="13818" width="5.78515625" style="1" customWidth="1"/>
    <col min="13819" max="13819" width="11.0703125" style="1" customWidth="1"/>
    <col min="13820" max="13827" width="5.78515625" style="1" customWidth="1"/>
    <col min="13828" max="13828" width="7.0703125" style="1" customWidth="1"/>
    <col min="13829" max="13830" width="5.78515625" style="1" customWidth="1"/>
    <col min="13831" max="13831" width="6" style="1" customWidth="1"/>
    <col min="13832" max="14070" width="8.78515625" style="1" customWidth="1"/>
    <col min="14071" max="14071" width="3.5703125" style="1" customWidth="1"/>
    <col min="14072" max="14074" width="5.78515625" style="1" customWidth="1"/>
    <col min="14075" max="14075" width="11.0703125" style="1" customWidth="1"/>
    <col min="14076" max="14083" width="5.78515625" style="1" customWidth="1"/>
    <col min="14084" max="14084" width="7.0703125" style="1" customWidth="1"/>
    <col min="14085" max="14086" width="5.78515625" style="1" customWidth="1"/>
    <col min="14087" max="14087" width="6" style="1" customWidth="1"/>
    <col min="14088" max="14326" width="8.78515625" style="1" customWidth="1"/>
    <col min="14327" max="14327" width="3.5703125" style="1" customWidth="1"/>
    <col min="14328" max="14330" width="5.78515625" style="1" customWidth="1"/>
    <col min="14331" max="14331" width="11.0703125" style="1" customWidth="1"/>
    <col min="14332" max="14339" width="5.78515625" style="1" customWidth="1"/>
    <col min="14340" max="14340" width="7.0703125" style="1" customWidth="1"/>
    <col min="14341" max="14342" width="5.78515625" style="1" customWidth="1"/>
    <col min="14343" max="14343" width="6" style="1" customWidth="1"/>
    <col min="14344" max="14582" width="8.78515625" style="1" customWidth="1"/>
    <col min="14583" max="14583" width="3.5703125" style="1" customWidth="1"/>
    <col min="14584" max="14586" width="5.78515625" style="1" customWidth="1"/>
    <col min="14587" max="14587" width="11.0703125" style="1" customWidth="1"/>
    <col min="14588" max="14595" width="5.78515625" style="1" customWidth="1"/>
    <col min="14596" max="14596" width="7.0703125" style="1" customWidth="1"/>
    <col min="14597" max="14598" width="5.78515625" style="1" customWidth="1"/>
    <col min="14599" max="14599" width="6" style="1" customWidth="1"/>
    <col min="14600" max="14838" width="8.78515625" style="1" customWidth="1"/>
    <col min="14839" max="14839" width="3.5703125" style="1" customWidth="1"/>
    <col min="14840" max="14842" width="5.78515625" style="1" customWidth="1"/>
    <col min="14843" max="14843" width="11.0703125" style="1" customWidth="1"/>
    <col min="14844" max="14851" width="5.78515625" style="1" customWidth="1"/>
    <col min="14852" max="14852" width="7.0703125" style="1" customWidth="1"/>
    <col min="14853" max="14854" width="5.78515625" style="1" customWidth="1"/>
    <col min="14855" max="14855" width="6" style="1" customWidth="1"/>
    <col min="14856" max="15094" width="8.78515625" style="1" customWidth="1"/>
    <col min="15095" max="15095" width="3.5703125" style="1" customWidth="1"/>
    <col min="15096" max="15098" width="5.78515625" style="1" customWidth="1"/>
    <col min="15099" max="15099" width="11.0703125" style="1" customWidth="1"/>
    <col min="15100" max="15107" width="5.78515625" style="1" customWidth="1"/>
    <col min="15108" max="15108" width="7.0703125" style="1" customWidth="1"/>
    <col min="15109" max="15110" width="5.78515625" style="1" customWidth="1"/>
    <col min="15111" max="15111" width="6" style="1" customWidth="1"/>
    <col min="15112" max="15350" width="8.78515625" style="1" customWidth="1"/>
    <col min="15351" max="15351" width="3.5703125" style="1" customWidth="1"/>
    <col min="15352" max="15354" width="5.78515625" style="1" customWidth="1"/>
    <col min="15355" max="15355" width="11.0703125" style="1" customWidth="1"/>
    <col min="15356" max="15363" width="5.78515625" style="1" customWidth="1"/>
    <col min="15364" max="15364" width="7.0703125" style="1" customWidth="1"/>
    <col min="15365" max="15366" width="5.78515625" style="1" customWidth="1"/>
    <col min="15367" max="15367" width="6" style="1" customWidth="1"/>
    <col min="15368" max="15606" width="8.78515625" style="1" customWidth="1"/>
    <col min="15607" max="15607" width="3.5703125" style="1" customWidth="1"/>
    <col min="15608" max="15610" width="5.78515625" style="1" customWidth="1"/>
    <col min="15611" max="15611" width="11.0703125" style="1" customWidth="1"/>
    <col min="15612" max="15619" width="5.78515625" style="1" customWidth="1"/>
    <col min="15620" max="15620" width="7.0703125" style="1" customWidth="1"/>
    <col min="15621" max="15622" width="5.78515625" style="1" customWidth="1"/>
    <col min="15623" max="15623" width="6" style="1" customWidth="1"/>
    <col min="15624" max="15862" width="8.78515625" style="1" customWidth="1"/>
    <col min="15863" max="15863" width="3.5703125" style="1" customWidth="1"/>
    <col min="15864" max="15866" width="5.78515625" style="1" customWidth="1"/>
    <col min="15867" max="15867" width="11.0703125" style="1" customWidth="1"/>
    <col min="15868" max="15875" width="5.78515625" style="1" customWidth="1"/>
    <col min="15876" max="15876" width="7.0703125" style="1" customWidth="1"/>
    <col min="15877" max="15878" width="5.78515625" style="1" customWidth="1"/>
    <col min="15879" max="15879" width="6" style="1" customWidth="1"/>
    <col min="15880" max="16118" width="8.78515625" style="1" customWidth="1"/>
    <col min="16119" max="16119" width="3.5703125" style="1" customWidth="1"/>
    <col min="16120" max="16122" width="5.78515625" style="1" customWidth="1"/>
    <col min="16123" max="16123" width="11.0703125" style="1" customWidth="1"/>
    <col min="16124" max="16131" width="5.78515625" style="1" customWidth="1"/>
    <col min="16132" max="16132" width="7.0703125" style="1" customWidth="1"/>
    <col min="16133" max="16134" width="5.78515625" style="1" customWidth="1"/>
    <col min="16135" max="16135" width="6" style="1" customWidth="1"/>
    <col min="16136" max="16384" width="8.78515625" style="1" customWidth="1"/>
  </cols>
  <sheetData>
    <row r="1" spans="1:16" ht="47.25" customHeight="1" x14ac:dyDescent="0.55000000000000004">
      <c r="A1" s="414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</row>
    <row r="2" spans="1:16" ht="29.25" customHeight="1" thickBot="1" x14ac:dyDescent="0.6">
      <c r="A2" s="400" t="s">
        <v>1</v>
      </c>
      <c r="B2" s="401"/>
      <c r="C2" s="401"/>
      <c r="D2" s="401"/>
      <c r="E2" s="2"/>
      <c r="F2" s="3"/>
      <c r="G2" s="4"/>
      <c r="H2" s="4"/>
      <c r="I2" s="4"/>
      <c r="J2" s="4"/>
      <c r="K2" s="409"/>
      <c r="L2" s="401"/>
      <c r="M2" s="401"/>
      <c r="N2" s="401"/>
      <c r="O2" s="401"/>
      <c r="P2" s="401"/>
    </row>
    <row r="3" spans="1:16" ht="16.5" customHeight="1" x14ac:dyDescent="0.55000000000000004">
      <c r="A3" s="416" t="s">
        <v>2</v>
      </c>
      <c r="B3" s="412" t="s">
        <v>3</v>
      </c>
      <c r="C3" s="389" t="s">
        <v>4</v>
      </c>
      <c r="D3" s="389" t="s">
        <v>5</v>
      </c>
      <c r="E3" s="389" t="s">
        <v>6</v>
      </c>
      <c r="F3" s="389" t="s">
        <v>7</v>
      </c>
      <c r="G3" s="420" t="s">
        <v>8</v>
      </c>
      <c r="H3" s="394"/>
      <c r="I3" s="420" t="s">
        <v>9</v>
      </c>
      <c r="J3" s="394"/>
      <c r="K3" s="420" t="s">
        <v>10</v>
      </c>
      <c r="L3" s="394"/>
      <c r="M3" s="389" t="s">
        <v>11</v>
      </c>
      <c r="N3" s="389" t="s">
        <v>12</v>
      </c>
      <c r="O3" s="389" t="s">
        <v>13</v>
      </c>
      <c r="P3" s="404" t="s">
        <v>14</v>
      </c>
    </row>
    <row r="4" spans="1:16" ht="14.4" customHeight="1" x14ac:dyDescent="0.55000000000000004">
      <c r="A4" s="399"/>
      <c r="B4" s="376"/>
      <c r="C4" s="386"/>
      <c r="D4" s="386"/>
      <c r="E4" s="386"/>
      <c r="F4" s="386"/>
      <c r="G4" s="434" t="s">
        <v>15</v>
      </c>
      <c r="H4" s="387" t="s">
        <v>16</v>
      </c>
      <c r="I4" s="434" t="s">
        <v>15</v>
      </c>
      <c r="J4" s="387" t="s">
        <v>16</v>
      </c>
      <c r="K4" s="434" t="s">
        <v>15</v>
      </c>
      <c r="L4" s="387" t="s">
        <v>16</v>
      </c>
      <c r="M4" s="386"/>
      <c r="N4" s="386"/>
      <c r="O4" s="386"/>
      <c r="P4" s="405"/>
    </row>
    <row r="5" spans="1:16" ht="14.4" customHeight="1" thickBot="1" x14ac:dyDescent="0.6">
      <c r="A5" s="417"/>
      <c r="B5" s="413"/>
      <c r="C5" s="390"/>
      <c r="D5" s="390"/>
      <c r="E5" s="390"/>
      <c r="F5" s="390"/>
      <c r="G5" s="435"/>
      <c r="H5" s="388"/>
      <c r="I5" s="435"/>
      <c r="J5" s="388"/>
      <c r="K5" s="435"/>
      <c r="L5" s="388"/>
      <c r="M5" s="390"/>
      <c r="N5" s="390"/>
      <c r="O5" s="390"/>
      <c r="P5" s="406"/>
    </row>
    <row r="6" spans="1:16" ht="14.4" hidden="1" customHeight="1" x14ac:dyDescent="0.55000000000000004">
      <c r="A6" s="5"/>
      <c r="B6" s="6"/>
      <c r="C6" s="7"/>
      <c r="D6" s="8"/>
      <c r="G6" s="9"/>
      <c r="H6" s="10"/>
      <c r="I6" s="11"/>
      <c r="J6" s="10"/>
      <c r="K6" s="11"/>
      <c r="L6" s="12"/>
      <c r="M6" s="13"/>
      <c r="N6" s="14"/>
      <c r="O6" s="15"/>
      <c r="P6" s="16"/>
    </row>
    <row r="7" spans="1:16" ht="15.65" customHeight="1" x14ac:dyDescent="0.55000000000000004">
      <c r="A7" s="437" t="s">
        <v>17</v>
      </c>
      <c r="B7" s="441" t="s">
        <v>18</v>
      </c>
      <c r="C7" s="17" t="s">
        <v>19</v>
      </c>
      <c r="D7" s="18" t="s">
        <v>20</v>
      </c>
      <c r="E7" s="19">
        <v>4</v>
      </c>
      <c r="F7" s="20">
        <v>4</v>
      </c>
      <c r="G7" s="19">
        <v>4</v>
      </c>
      <c r="H7" s="21"/>
      <c r="I7" s="22"/>
      <c r="J7" s="21"/>
      <c r="K7" s="22"/>
      <c r="L7" s="23"/>
      <c r="M7" s="17"/>
      <c r="N7" s="24"/>
      <c r="O7" s="391">
        <f>SUM(F7:F11)</f>
        <v>20</v>
      </c>
      <c r="P7" s="380">
        <v>8</v>
      </c>
    </row>
    <row r="8" spans="1:16" ht="15.65" customHeight="1" x14ac:dyDescent="0.55000000000000004">
      <c r="A8" s="399"/>
      <c r="B8" s="376"/>
      <c r="C8" s="25" t="s">
        <v>19</v>
      </c>
      <c r="D8" s="26" t="s">
        <v>21</v>
      </c>
      <c r="E8" s="27">
        <v>4</v>
      </c>
      <c r="F8" s="28">
        <v>4</v>
      </c>
      <c r="G8" s="27"/>
      <c r="H8" s="29">
        <v>4</v>
      </c>
      <c r="I8" s="30"/>
      <c r="J8" s="29"/>
      <c r="K8" s="30"/>
      <c r="L8" s="31"/>
      <c r="M8" s="32"/>
      <c r="N8" s="33"/>
      <c r="O8" s="386"/>
      <c r="P8" s="405"/>
    </row>
    <row r="9" spans="1:16" ht="15.65" customHeight="1" x14ac:dyDescent="0.55000000000000004">
      <c r="A9" s="399"/>
      <c r="B9" s="376"/>
      <c r="C9" s="32" t="s">
        <v>22</v>
      </c>
      <c r="D9" s="34" t="s">
        <v>23</v>
      </c>
      <c r="E9" s="35">
        <v>4</v>
      </c>
      <c r="F9" s="36">
        <v>4</v>
      </c>
      <c r="G9" s="35"/>
      <c r="H9" s="37"/>
      <c r="I9" s="38">
        <v>4</v>
      </c>
      <c r="J9" s="37"/>
      <c r="K9" s="38"/>
      <c r="L9" s="39"/>
      <c r="M9" s="32"/>
      <c r="N9" s="33"/>
      <c r="O9" s="386"/>
      <c r="P9" s="405"/>
    </row>
    <row r="10" spans="1:16" ht="15.65" customHeight="1" x14ac:dyDescent="0.55000000000000004">
      <c r="A10" s="399"/>
      <c r="B10" s="376"/>
      <c r="C10" s="32" t="s">
        <v>22</v>
      </c>
      <c r="D10" s="34" t="s">
        <v>24</v>
      </c>
      <c r="E10" s="35">
        <v>4</v>
      </c>
      <c r="F10" s="36">
        <v>4</v>
      </c>
      <c r="G10" s="35"/>
      <c r="H10" s="37"/>
      <c r="I10" s="38"/>
      <c r="J10" s="37">
        <v>4</v>
      </c>
      <c r="K10" s="38"/>
      <c r="L10" s="39"/>
      <c r="M10" s="32"/>
      <c r="N10" s="33"/>
      <c r="O10" s="386"/>
      <c r="P10" s="405"/>
    </row>
    <row r="11" spans="1:16" ht="15.65" customHeight="1" x14ac:dyDescent="0.55000000000000004">
      <c r="A11" s="399"/>
      <c r="B11" s="377"/>
      <c r="C11" s="32" t="s">
        <v>22</v>
      </c>
      <c r="D11" s="34" t="s">
        <v>25</v>
      </c>
      <c r="E11" s="35">
        <v>4</v>
      </c>
      <c r="F11" s="36">
        <v>4</v>
      </c>
      <c r="G11" s="35"/>
      <c r="H11" s="37"/>
      <c r="I11" s="38"/>
      <c r="J11" s="37"/>
      <c r="K11" s="38">
        <v>4</v>
      </c>
      <c r="L11" s="39"/>
      <c r="M11" s="32"/>
      <c r="N11" s="40"/>
      <c r="O11" s="379"/>
      <c r="P11" s="381"/>
    </row>
    <row r="12" spans="1:16" ht="15.65" customHeight="1" x14ac:dyDescent="0.55000000000000004">
      <c r="A12" s="399"/>
      <c r="B12" s="375" t="s">
        <v>26</v>
      </c>
      <c r="C12" s="41" t="s">
        <v>19</v>
      </c>
      <c r="D12" s="42" t="s">
        <v>27</v>
      </c>
      <c r="E12" s="43">
        <v>4</v>
      </c>
      <c r="F12" s="44">
        <v>4</v>
      </c>
      <c r="G12" s="43">
        <v>4</v>
      </c>
      <c r="H12" s="45"/>
      <c r="I12" s="46"/>
      <c r="J12" s="45"/>
      <c r="K12" s="46"/>
      <c r="L12" s="47"/>
      <c r="M12" s="41"/>
      <c r="N12" s="48"/>
      <c r="O12" s="391">
        <f>SUM(F12:F16)</f>
        <v>20</v>
      </c>
      <c r="P12" s="380">
        <v>8</v>
      </c>
    </row>
    <row r="13" spans="1:16" ht="15.65" customHeight="1" x14ac:dyDescent="0.55000000000000004">
      <c r="A13" s="399"/>
      <c r="B13" s="376"/>
      <c r="C13" s="49" t="s">
        <v>19</v>
      </c>
      <c r="D13" s="50" t="s">
        <v>28</v>
      </c>
      <c r="E13" s="28">
        <v>4</v>
      </c>
      <c r="F13" s="51">
        <v>4</v>
      </c>
      <c r="G13" s="30"/>
      <c r="H13" s="52">
        <v>4</v>
      </c>
      <c r="I13" s="30"/>
      <c r="J13" s="52"/>
      <c r="K13" s="53"/>
      <c r="L13" s="54"/>
      <c r="M13" s="25"/>
      <c r="N13" s="33"/>
      <c r="O13" s="386"/>
      <c r="P13" s="405"/>
    </row>
    <row r="14" spans="1:16" ht="15.65" customHeight="1" x14ac:dyDescent="0.55000000000000004">
      <c r="A14" s="399"/>
      <c r="B14" s="376"/>
      <c r="C14" s="49" t="s">
        <v>22</v>
      </c>
      <c r="D14" s="55" t="s">
        <v>29</v>
      </c>
      <c r="E14" s="27">
        <v>4</v>
      </c>
      <c r="F14" s="28">
        <v>4</v>
      </c>
      <c r="G14" s="30"/>
      <c r="H14" s="29"/>
      <c r="I14" s="38">
        <v>4</v>
      </c>
      <c r="J14" s="29"/>
      <c r="K14" s="30"/>
      <c r="L14" s="29"/>
      <c r="M14" s="25"/>
      <c r="N14" s="33"/>
      <c r="O14" s="386"/>
      <c r="P14" s="405"/>
    </row>
    <row r="15" spans="1:16" ht="15.65" customHeight="1" x14ac:dyDescent="0.55000000000000004">
      <c r="A15" s="399"/>
      <c r="B15" s="376"/>
      <c r="C15" s="56" t="s">
        <v>22</v>
      </c>
      <c r="D15" s="55" t="s">
        <v>30</v>
      </c>
      <c r="E15" s="27">
        <v>4</v>
      </c>
      <c r="F15" s="28">
        <v>4</v>
      </c>
      <c r="G15" s="57"/>
      <c r="H15" s="58"/>
      <c r="I15" s="59"/>
      <c r="J15" s="58">
        <v>4</v>
      </c>
      <c r="K15" s="59"/>
      <c r="L15" s="52"/>
      <c r="M15" s="25"/>
      <c r="N15" s="60"/>
      <c r="O15" s="386"/>
      <c r="P15" s="405"/>
    </row>
    <row r="16" spans="1:16" ht="15.65" customHeight="1" x14ac:dyDescent="0.55000000000000004">
      <c r="A16" s="399"/>
      <c r="B16" s="377"/>
      <c r="C16" s="61" t="s">
        <v>22</v>
      </c>
      <c r="D16" s="62" t="s">
        <v>31</v>
      </c>
      <c r="E16" s="63">
        <v>4</v>
      </c>
      <c r="F16" s="64">
        <v>4</v>
      </c>
      <c r="G16" s="65"/>
      <c r="H16" s="66"/>
      <c r="I16" s="65"/>
      <c r="J16" s="66"/>
      <c r="K16" s="65">
        <v>4</v>
      </c>
      <c r="L16" s="66"/>
      <c r="M16" s="61"/>
      <c r="N16" s="67"/>
      <c r="O16" s="379"/>
      <c r="P16" s="381"/>
    </row>
    <row r="17" spans="1:16" ht="15.65" customHeight="1" x14ac:dyDescent="0.55000000000000004">
      <c r="A17" s="399"/>
      <c r="B17" s="375" t="s">
        <v>32</v>
      </c>
      <c r="C17" s="32" t="s">
        <v>19</v>
      </c>
      <c r="D17" s="34" t="s">
        <v>33</v>
      </c>
      <c r="E17" s="44">
        <v>4</v>
      </c>
      <c r="F17" s="44">
        <v>4</v>
      </c>
      <c r="G17" s="38">
        <v>4</v>
      </c>
      <c r="H17" s="37"/>
      <c r="I17" s="38"/>
      <c r="J17" s="37"/>
      <c r="K17" s="38"/>
      <c r="L17" s="37"/>
      <c r="M17" s="32"/>
      <c r="N17" s="48"/>
      <c r="O17" s="391">
        <v>19</v>
      </c>
      <c r="P17" s="380">
        <v>8</v>
      </c>
    </row>
    <row r="18" spans="1:16" ht="15.65" customHeight="1" x14ac:dyDescent="0.55000000000000004">
      <c r="A18" s="399"/>
      <c r="B18" s="376"/>
      <c r="C18" s="49" t="s">
        <v>19</v>
      </c>
      <c r="D18" s="55" t="s">
        <v>34</v>
      </c>
      <c r="E18" s="28">
        <v>4</v>
      </c>
      <c r="F18" s="28">
        <v>4</v>
      </c>
      <c r="G18" s="30"/>
      <c r="H18" s="52">
        <v>4</v>
      </c>
      <c r="I18" s="53"/>
      <c r="J18" s="52"/>
      <c r="K18" s="53"/>
      <c r="L18" s="52"/>
      <c r="M18" s="25"/>
      <c r="N18" s="33"/>
      <c r="O18" s="386"/>
      <c r="P18" s="405"/>
    </row>
    <row r="19" spans="1:16" ht="15.65" customHeight="1" x14ac:dyDescent="0.55000000000000004">
      <c r="A19" s="399"/>
      <c r="B19" s="376"/>
      <c r="C19" s="56" t="s">
        <v>22</v>
      </c>
      <c r="D19" s="55" t="s">
        <v>35</v>
      </c>
      <c r="E19" s="27">
        <v>4</v>
      </c>
      <c r="F19" s="28">
        <v>4</v>
      </c>
      <c r="G19" s="30"/>
      <c r="H19" s="52"/>
      <c r="I19" s="53">
        <v>4</v>
      </c>
      <c r="J19" s="52"/>
      <c r="K19" s="30"/>
      <c r="L19" s="29"/>
      <c r="M19" s="25"/>
      <c r="N19" s="33"/>
      <c r="O19" s="386"/>
      <c r="P19" s="405"/>
    </row>
    <row r="20" spans="1:16" ht="15.65" customHeight="1" x14ac:dyDescent="0.55000000000000004">
      <c r="A20" s="399"/>
      <c r="B20" s="376"/>
      <c r="C20" s="56" t="s">
        <v>22</v>
      </c>
      <c r="D20" s="55" t="s">
        <v>36</v>
      </c>
      <c r="E20" s="27">
        <v>4</v>
      </c>
      <c r="F20" s="28">
        <v>4</v>
      </c>
      <c r="G20" s="30"/>
      <c r="H20" s="29"/>
      <c r="I20" s="30"/>
      <c r="J20" s="29">
        <v>4</v>
      </c>
      <c r="K20" s="30"/>
      <c r="L20" s="29"/>
      <c r="M20" s="25"/>
      <c r="N20" s="33"/>
      <c r="O20" s="386"/>
      <c r="P20" s="405"/>
    </row>
    <row r="21" spans="1:16" ht="15.65" customHeight="1" x14ac:dyDescent="0.55000000000000004">
      <c r="A21" s="399"/>
      <c r="B21" s="377"/>
      <c r="C21" s="56" t="s">
        <v>22</v>
      </c>
      <c r="D21" s="55" t="s">
        <v>37</v>
      </c>
      <c r="E21" s="57">
        <v>4</v>
      </c>
      <c r="F21" s="57">
        <v>3</v>
      </c>
      <c r="G21" s="59"/>
      <c r="H21" s="58"/>
      <c r="I21" s="30"/>
      <c r="J21" s="58"/>
      <c r="K21" s="59">
        <v>3</v>
      </c>
      <c r="L21" s="52"/>
      <c r="M21" s="56"/>
      <c r="N21" s="40"/>
      <c r="O21" s="379"/>
      <c r="P21" s="381"/>
    </row>
    <row r="22" spans="1:16" ht="15.65" customHeight="1" x14ac:dyDescent="0.55000000000000004">
      <c r="A22" s="399"/>
      <c r="B22" s="375" t="s">
        <v>38</v>
      </c>
      <c r="C22" s="41" t="s">
        <v>19</v>
      </c>
      <c r="D22" s="68" t="s">
        <v>39</v>
      </c>
      <c r="E22" s="43">
        <v>3</v>
      </c>
      <c r="F22" s="43">
        <v>3</v>
      </c>
      <c r="G22" s="46">
        <v>3</v>
      </c>
      <c r="H22" s="45"/>
      <c r="I22" s="46"/>
      <c r="J22" s="45"/>
      <c r="K22" s="46"/>
      <c r="L22" s="47"/>
      <c r="M22" s="41"/>
      <c r="N22" s="48"/>
      <c r="O22" s="391">
        <v>6</v>
      </c>
      <c r="P22" s="380">
        <v>6</v>
      </c>
    </row>
    <row r="23" spans="1:16" ht="15.65" customHeight="1" x14ac:dyDescent="0.55000000000000004">
      <c r="A23" s="399"/>
      <c r="B23" s="376"/>
      <c r="C23" s="49" t="s">
        <v>19</v>
      </c>
      <c r="D23" s="69" t="s">
        <v>40</v>
      </c>
      <c r="E23" s="57">
        <v>3</v>
      </c>
      <c r="F23" s="57">
        <v>3</v>
      </c>
      <c r="G23" s="59"/>
      <c r="H23" s="58">
        <v>3</v>
      </c>
      <c r="I23" s="59"/>
      <c r="J23" s="58"/>
      <c r="K23" s="59"/>
      <c r="L23" s="70"/>
      <c r="M23" s="56"/>
      <c r="N23" s="40"/>
      <c r="O23" s="379"/>
      <c r="P23" s="381"/>
    </row>
    <row r="24" spans="1:16" ht="15.65" customHeight="1" x14ac:dyDescent="0.55000000000000004">
      <c r="A24" s="399"/>
      <c r="B24" s="376"/>
      <c r="C24" s="41" t="s">
        <v>19</v>
      </c>
      <c r="D24" s="68" t="s">
        <v>41</v>
      </c>
      <c r="E24" s="43">
        <v>4</v>
      </c>
      <c r="F24" s="71">
        <v>4</v>
      </c>
      <c r="G24" s="46">
        <v>4</v>
      </c>
      <c r="H24" s="45"/>
      <c r="I24" s="46"/>
      <c r="J24" s="45"/>
      <c r="K24" s="46"/>
      <c r="L24" s="47"/>
      <c r="M24" s="41"/>
      <c r="N24" s="48"/>
      <c r="O24" s="391">
        <v>8</v>
      </c>
      <c r="P24" s="380">
        <v>8</v>
      </c>
    </row>
    <row r="25" spans="1:16" ht="15.65" customHeight="1" x14ac:dyDescent="0.55000000000000004">
      <c r="A25" s="399"/>
      <c r="B25" s="377"/>
      <c r="C25" s="72" t="s">
        <v>19</v>
      </c>
      <c r="D25" s="73" t="s">
        <v>42</v>
      </c>
      <c r="E25" s="63">
        <v>4</v>
      </c>
      <c r="F25" s="74">
        <v>4</v>
      </c>
      <c r="G25" s="75"/>
      <c r="H25" s="76">
        <v>4</v>
      </c>
      <c r="I25" s="75"/>
      <c r="J25" s="76"/>
      <c r="K25" s="77"/>
      <c r="L25" s="78"/>
      <c r="M25" s="61"/>
      <c r="N25" s="40"/>
      <c r="O25" s="379"/>
      <c r="P25" s="381"/>
    </row>
    <row r="26" spans="1:16" ht="15.65" customHeight="1" x14ac:dyDescent="0.55000000000000004">
      <c r="A26" s="399"/>
      <c r="B26" s="375" t="s">
        <v>43</v>
      </c>
      <c r="C26" s="32" t="s">
        <v>19</v>
      </c>
      <c r="D26" s="34" t="s">
        <v>44</v>
      </c>
      <c r="E26" s="44">
        <v>4</v>
      </c>
      <c r="F26" s="71">
        <v>4</v>
      </c>
      <c r="G26" s="46">
        <v>4</v>
      </c>
      <c r="H26" s="45"/>
      <c r="I26" s="46"/>
      <c r="J26" s="45"/>
      <c r="K26" s="79"/>
      <c r="L26" s="80"/>
      <c r="M26" s="32"/>
      <c r="N26" s="48"/>
      <c r="O26" s="385">
        <v>10</v>
      </c>
      <c r="P26" s="411">
        <v>10</v>
      </c>
    </row>
    <row r="27" spans="1:16" ht="15.65" customHeight="1" x14ac:dyDescent="0.55000000000000004">
      <c r="A27" s="399"/>
      <c r="B27" s="376"/>
      <c r="C27" s="25" t="s">
        <v>19</v>
      </c>
      <c r="D27" s="26" t="s">
        <v>45</v>
      </c>
      <c r="E27" s="27">
        <v>4</v>
      </c>
      <c r="F27" s="81">
        <v>4</v>
      </c>
      <c r="G27" s="30"/>
      <c r="H27" s="29">
        <v>4</v>
      </c>
      <c r="I27" s="30"/>
      <c r="J27" s="29"/>
      <c r="K27" s="82"/>
      <c r="L27" s="83"/>
      <c r="M27" s="32"/>
      <c r="N27" s="33"/>
      <c r="O27" s="386"/>
      <c r="P27" s="405"/>
    </row>
    <row r="28" spans="1:16" ht="15.65" customHeight="1" x14ac:dyDescent="0.55000000000000004">
      <c r="A28" s="399"/>
      <c r="B28" s="376"/>
      <c r="C28" s="25" t="s">
        <v>19</v>
      </c>
      <c r="D28" s="26" t="s">
        <v>46</v>
      </c>
      <c r="E28" s="27">
        <v>1</v>
      </c>
      <c r="F28" s="81">
        <v>1</v>
      </c>
      <c r="G28" s="30">
        <v>1</v>
      </c>
      <c r="H28" s="29"/>
      <c r="I28" s="30"/>
      <c r="J28" s="29"/>
      <c r="K28" s="82"/>
      <c r="L28" s="83"/>
      <c r="M28" s="32"/>
      <c r="N28" s="33"/>
      <c r="O28" s="386"/>
      <c r="P28" s="405"/>
    </row>
    <row r="29" spans="1:16" ht="15.65" customHeight="1" x14ac:dyDescent="0.55000000000000004">
      <c r="A29" s="399"/>
      <c r="B29" s="377"/>
      <c r="C29" s="49" t="s">
        <v>19</v>
      </c>
      <c r="D29" s="84" t="s">
        <v>47</v>
      </c>
      <c r="E29" s="85">
        <v>1</v>
      </c>
      <c r="F29" s="86">
        <v>1</v>
      </c>
      <c r="G29" s="65"/>
      <c r="H29" s="66">
        <v>1</v>
      </c>
      <c r="I29" s="65"/>
      <c r="J29" s="66"/>
      <c r="K29" s="65"/>
      <c r="L29" s="87"/>
      <c r="M29" s="56"/>
      <c r="N29" s="40"/>
      <c r="O29" s="379"/>
      <c r="P29" s="381"/>
    </row>
    <row r="30" spans="1:16" ht="15.65" customHeight="1" x14ac:dyDescent="0.55000000000000004">
      <c r="A30" s="399"/>
      <c r="B30" s="375" t="s">
        <v>48</v>
      </c>
      <c r="C30" s="88" t="s">
        <v>22</v>
      </c>
      <c r="D30" s="89" t="s">
        <v>49</v>
      </c>
      <c r="E30" s="90">
        <v>3</v>
      </c>
      <c r="F30" s="91">
        <v>2</v>
      </c>
      <c r="G30" s="90">
        <v>2</v>
      </c>
      <c r="H30" s="92"/>
      <c r="I30" s="93"/>
      <c r="J30" s="92"/>
      <c r="K30" s="93"/>
      <c r="L30" s="94"/>
      <c r="M30" s="88"/>
      <c r="N30" s="48"/>
      <c r="O30" s="378">
        <v>11</v>
      </c>
      <c r="P30" s="411">
        <v>10</v>
      </c>
    </row>
    <row r="31" spans="1:16" ht="15.65" customHeight="1" x14ac:dyDescent="0.55000000000000004">
      <c r="A31" s="399"/>
      <c r="B31" s="376"/>
      <c r="C31" s="95" t="s">
        <v>22</v>
      </c>
      <c r="D31" s="96" t="s">
        <v>50</v>
      </c>
      <c r="E31" s="97">
        <v>3</v>
      </c>
      <c r="F31" s="98">
        <v>2</v>
      </c>
      <c r="G31" s="99"/>
      <c r="H31" s="100">
        <v>2</v>
      </c>
      <c r="I31" s="99"/>
      <c r="J31" s="100"/>
      <c r="K31" s="99"/>
      <c r="L31" s="101"/>
      <c r="M31" s="102"/>
      <c r="N31" s="33"/>
      <c r="O31" s="386"/>
      <c r="P31" s="405"/>
    </row>
    <row r="32" spans="1:16" ht="15.65" customHeight="1" x14ac:dyDescent="0.55000000000000004">
      <c r="A32" s="399"/>
      <c r="B32" s="376"/>
      <c r="C32" s="103" t="s">
        <v>51</v>
      </c>
      <c r="D32" s="104" t="s">
        <v>52</v>
      </c>
      <c r="E32" s="98">
        <v>3</v>
      </c>
      <c r="F32" s="98">
        <v>2</v>
      </c>
      <c r="G32" s="105"/>
      <c r="H32" s="106"/>
      <c r="I32" s="107">
        <v>2</v>
      </c>
      <c r="J32" s="108"/>
      <c r="K32" s="109"/>
      <c r="L32" s="108"/>
      <c r="M32" s="102"/>
      <c r="N32" s="60"/>
      <c r="O32" s="386"/>
      <c r="P32" s="405"/>
    </row>
    <row r="33" spans="1:20" ht="15.65" customHeight="1" x14ac:dyDescent="0.55000000000000004">
      <c r="A33" s="399"/>
      <c r="B33" s="376"/>
      <c r="C33" s="103" t="s">
        <v>51</v>
      </c>
      <c r="D33" s="96" t="s">
        <v>53</v>
      </c>
      <c r="E33" s="97">
        <v>3</v>
      </c>
      <c r="F33" s="98">
        <v>2</v>
      </c>
      <c r="G33" s="110"/>
      <c r="H33" s="100"/>
      <c r="I33" s="110"/>
      <c r="J33" s="106">
        <v>2</v>
      </c>
      <c r="K33" s="110"/>
      <c r="L33" s="111"/>
      <c r="M33" s="102"/>
      <c r="N33" s="60"/>
      <c r="O33" s="386"/>
      <c r="P33" s="405"/>
    </row>
    <row r="34" spans="1:20" ht="15.65" customHeight="1" x14ac:dyDescent="0.55000000000000004">
      <c r="A34" s="399"/>
      <c r="B34" s="376"/>
      <c r="C34" s="103" t="s">
        <v>54</v>
      </c>
      <c r="D34" s="96" t="s">
        <v>55</v>
      </c>
      <c r="E34" s="97">
        <v>2</v>
      </c>
      <c r="F34" s="98">
        <v>2</v>
      </c>
      <c r="G34" s="99"/>
      <c r="H34" s="100"/>
      <c r="I34" s="99"/>
      <c r="J34" s="100"/>
      <c r="K34" s="99">
        <v>2</v>
      </c>
      <c r="L34" s="100"/>
      <c r="M34" s="102"/>
      <c r="N34" s="60"/>
      <c r="O34" s="386"/>
      <c r="P34" s="405"/>
    </row>
    <row r="35" spans="1:20" ht="15.65" customHeight="1" x14ac:dyDescent="0.55000000000000004">
      <c r="A35" s="399"/>
      <c r="B35" s="377"/>
      <c r="C35" s="112" t="s">
        <v>54</v>
      </c>
      <c r="D35" s="113" t="s">
        <v>56</v>
      </c>
      <c r="E35" s="114">
        <v>2</v>
      </c>
      <c r="F35" s="115">
        <v>1</v>
      </c>
      <c r="G35" s="116"/>
      <c r="H35" s="117"/>
      <c r="I35" s="118"/>
      <c r="J35" s="117"/>
      <c r="K35" s="118"/>
      <c r="L35" s="117">
        <v>1</v>
      </c>
      <c r="M35" s="119"/>
      <c r="N35" s="67"/>
      <c r="O35" s="379"/>
      <c r="P35" s="381"/>
      <c r="Q35" s="120"/>
    </row>
    <row r="36" spans="1:20" ht="15.65" customHeight="1" x14ac:dyDescent="0.55000000000000004">
      <c r="A36" s="399"/>
      <c r="B36" s="375" t="s">
        <v>57</v>
      </c>
      <c r="C36" s="121" t="s">
        <v>22</v>
      </c>
      <c r="D36" s="104" t="s">
        <v>58</v>
      </c>
      <c r="E36" s="122">
        <v>3</v>
      </c>
      <c r="F36" s="123">
        <v>3</v>
      </c>
      <c r="G36" s="105">
        <v>3</v>
      </c>
      <c r="H36" s="106"/>
      <c r="I36" s="107"/>
      <c r="J36" s="106"/>
      <c r="K36" s="107"/>
      <c r="L36" s="124"/>
      <c r="M36" s="121"/>
      <c r="N36" s="48"/>
      <c r="O36" s="407">
        <v>6</v>
      </c>
      <c r="P36" s="411">
        <v>10</v>
      </c>
    </row>
    <row r="37" spans="1:20" ht="15.65" customHeight="1" x14ac:dyDescent="0.55000000000000004">
      <c r="A37" s="399"/>
      <c r="B37" s="377"/>
      <c r="C37" s="95" t="s">
        <v>22</v>
      </c>
      <c r="D37" s="125" t="s">
        <v>59</v>
      </c>
      <c r="E37" s="126">
        <v>3</v>
      </c>
      <c r="F37" s="127">
        <v>3</v>
      </c>
      <c r="G37" s="128"/>
      <c r="H37" s="111">
        <v>3</v>
      </c>
      <c r="I37" s="110" t="s">
        <v>60</v>
      </c>
      <c r="J37" s="111"/>
      <c r="K37" s="110"/>
      <c r="L37" s="129"/>
      <c r="M37" s="130"/>
      <c r="N37" s="40"/>
      <c r="O37" s="379"/>
      <c r="P37" s="381"/>
      <c r="R37" s="131"/>
      <c r="S37" s="131"/>
      <c r="T37" s="131"/>
    </row>
    <row r="38" spans="1:20" ht="15.65" customHeight="1" x14ac:dyDescent="0.55000000000000004">
      <c r="A38" s="399"/>
      <c r="B38" s="439" t="s">
        <v>61</v>
      </c>
      <c r="C38" s="132" t="s">
        <v>22</v>
      </c>
      <c r="D38" s="133" t="s">
        <v>62</v>
      </c>
      <c r="E38" s="134">
        <v>3</v>
      </c>
      <c r="F38" s="135">
        <v>2</v>
      </c>
      <c r="G38" s="136"/>
      <c r="H38" s="137"/>
      <c r="I38" s="138"/>
      <c r="J38" s="136"/>
      <c r="K38" s="138">
        <v>2</v>
      </c>
      <c r="L38" s="137"/>
      <c r="M38" s="139"/>
      <c r="N38" s="48"/>
      <c r="O38" s="378">
        <v>4</v>
      </c>
      <c r="P38" s="411">
        <v>16</v>
      </c>
      <c r="Q38" s="120"/>
      <c r="R38" s="131"/>
      <c r="S38" s="131"/>
      <c r="T38" s="131"/>
    </row>
    <row r="39" spans="1:20" ht="15.65" customHeight="1" thickBot="1" x14ac:dyDescent="0.6">
      <c r="A39" s="399"/>
      <c r="B39" s="376"/>
      <c r="C39" s="140" t="s">
        <v>51</v>
      </c>
      <c r="D39" s="141" t="s">
        <v>63</v>
      </c>
      <c r="E39" s="142">
        <v>3</v>
      </c>
      <c r="F39" s="143">
        <v>2</v>
      </c>
      <c r="G39" s="144"/>
      <c r="H39" s="145"/>
      <c r="I39" s="144"/>
      <c r="J39" s="145"/>
      <c r="K39" s="144"/>
      <c r="L39" s="145">
        <v>2</v>
      </c>
      <c r="M39" s="146"/>
      <c r="N39" s="147"/>
      <c r="O39" s="379"/>
      <c r="P39" s="381"/>
      <c r="Q39" s="120"/>
      <c r="R39" s="131"/>
      <c r="S39" s="131"/>
      <c r="T39" s="131"/>
    </row>
    <row r="40" spans="1:20" ht="15.65" customHeight="1" x14ac:dyDescent="0.55000000000000004">
      <c r="A40" s="440" t="s">
        <v>64</v>
      </c>
      <c r="B40" s="148" t="s">
        <v>18</v>
      </c>
      <c r="C40" s="149" t="s">
        <v>51</v>
      </c>
      <c r="D40" s="150" t="s">
        <v>65</v>
      </c>
      <c r="E40" s="116">
        <v>4</v>
      </c>
      <c r="F40" s="115">
        <v>3</v>
      </c>
      <c r="G40" s="151"/>
      <c r="H40" s="117"/>
      <c r="I40" s="443" t="s">
        <v>66</v>
      </c>
      <c r="J40" s="152"/>
      <c r="K40" s="118"/>
      <c r="L40" s="152"/>
      <c r="M40" s="112"/>
      <c r="N40" s="153"/>
      <c r="O40" s="382">
        <v>15</v>
      </c>
      <c r="P40" s="154"/>
      <c r="R40" s="131"/>
      <c r="S40" s="131"/>
      <c r="T40" s="131"/>
    </row>
    <row r="41" spans="1:20" ht="15.65" customHeight="1" x14ac:dyDescent="0.55000000000000004">
      <c r="A41" s="399"/>
      <c r="B41" s="155" t="s">
        <v>26</v>
      </c>
      <c r="C41" s="156" t="s">
        <v>54</v>
      </c>
      <c r="D41" s="157" t="s">
        <v>67</v>
      </c>
      <c r="E41" s="158">
        <v>4</v>
      </c>
      <c r="F41" s="159">
        <v>3</v>
      </c>
      <c r="G41" s="160"/>
      <c r="H41" s="161"/>
      <c r="I41" s="386"/>
      <c r="J41" s="162"/>
      <c r="K41" s="160"/>
      <c r="L41" s="162"/>
      <c r="M41" s="163"/>
      <c r="N41" s="164"/>
      <c r="O41" s="383"/>
      <c r="P41" s="154"/>
      <c r="R41" s="131"/>
      <c r="S41" s="131"/>
      <c r="T41" s="131"/>
    </row>
    <row r="42" spans="1:20" ht="15.65" customHeight="1" x14ac:dyDescent="0.55000000000000004">
      <c r="A42" s="399"/>
      <c r="B42" s="155" t="s">
        <v>32</v>
      </c>
      <c r="C42" s="156" t="s">
        <v>51</v>
      </c>
      <c r="D42" s="157" t="s">
        <v>68</v>
      </c>
      <c r="E42" s="158">
        <v>4</v>
      </c>
      <c r="F42" s="159">
        <v>3</v>
      </c>
      <c r="G42" s="160"/>
      <c r="H42" s="161"/>
      <c r="I42" s="386"/>
      <c r="J42" s="162"/>
      <c r="K42" s="160"/>
      <c r="L42" s="162"/>
      <c r="M42" s="163"/>
      <c r="N42" s="164"/>
      <c r="O42" s="383"/>
      <c r="P42" s="154"/>
      <c r="R42" s="131"/>
      <c r="S42" s="131"/>
      <c r="T42" s="131"/>
    </row>
    <row r="43" spans="1:20" ht="15.65" customHeight="1" x14ac:dyDescent="0.55000000000000004">
      <c r="A43" s="399"/>
      <c r="B43" s="375" t="s">
        <v>38</v>
      </c>
      <c r="C43" s="121" t="s">
        <v>22</v>
      </c>
      <c r="D43" s="165" t="s">
        <v>69</v>
      </c>
      <c r="E43" s="91">
        <v>4</v>
      </c>
      <c r="F43" s="166">
        <v>3</v>
      </c>
      <c r="G43" s="109"/>
      <c r="H43" s="167"/>
      <c r="I43" s="386"/>
      <c r="J43" s="168"/>
      <c r="K43" s="169"/>
      <c r="L43" s="170"/>
      <c r="M43" s="132"/>
      <c r="N43" s="171"/>
      <c r="O43" s="383"/>
      <c r="P43" s="154"/>
      <c r="R43" s="131"/>
      <c r="S43" s="131"/>
      <c r="T43" s="131"/>
    </row>
    <row r="44" spans="1:20" ht="15.65" customHeight="1" x14ac:dyDescent="0.55000000000000004">
      <c r="A44" s="399"/>
      <c r="B44" s="376"/>
      <c r="C44" s="102" t="s">
        <v>22</v>
      </c>
      <c r="D44" s="172" t="s">
        <v>70</v>
      </c>
      <c r="E44" s="173">
        <v>4</v>
      </c>
      <c r="F44" s="174">
        <v>3</v>
      </c>
      <c r="G44" s="175"/>
      <c r="H44" s="176"/>
      <c r="I44" s="386"/>
      <c r="J44" s="177"/>
      <c r="K44" s="178"/>
      <c r="L44" s="179"/>
      <c r="M44" s="180"/>
      <c r="N44" s="181"/>
      <c r="O44" s="383"/>
      <c r="P44" s="154"/>
      <c r="R44" s="131"/>
      <c r="S44" s="131"/>
      <c r="T44" s="131"/>
    </row>
    <row r="45" spans="1:20" ht="15.65" customHeight="1" x14ac:dyDescent="0.55000000000000004">
      <c r="A45" s="399"/>
      <c r="B45" s="376"/>
      <c r="C45" s="102" t="s">
        <v>22</v>
      </c>
      <c r="D45" s="96" t="s">
        <v>71</v>
      </c>
      <c r="E45" s="97">
        <v>4</v>
      </c>
      <c r="F45" s="182">
        <v>3</v>
      </c>
      <c r="G45" s="110"/>
      <c r="H45" s="183"/>
      <c r="I45" s="386"/>
      <c r="J45" s="184"/>
      <c r="K45" s="185"/>
      <c r="L45" s="186"/>
      <c r="M45" s="103"/>
      <c r="N45" s="181"/>
      <c r="O45" s="383"/>
      <c r="P45" s="154"/>
      <c r="R45" s="131"/>
      <c r="S45" s="131"/>
      <c r="T45" s="131"/>
    </row>
    <row r="46" spans="1:20" ht="15.65" customHeight="1" x14ac:dyDescent="0.55000000000000004">
      <c r="A46" s="399"/>
      <c r="B46" s="377"/>
      <c r="C46" s="187" t="s">
        <v>22</v>
      </c>
      <c r="D46" s="188" t="s">
        <v>72</v>
      </c>
      <c r="E46" s="116">
        <v>4</v>
      </c>
      <c r="F46" s="115">
        <v>3</v>
      </c>
      <c r="G46" s="189"/>
      <c r="H46" s="190"/>
      <c r="I46" s="386"/>
      <c r="J46" s="191"/>
      <c r="K46" s="192"/>
      <c r="L46" s="191"/>
      <c r="M46" s="193"/>
      <c r="N46" s="194"/>
      <c r="O46" s="383"/>
      <c r="P46" s="154"/>
      <c r="R46" s="131"/>
      <c r="S46" s="131"/>
      <c r="T46" s="131"/>
    </row>
    <row r="47" spans="1:20" ht="15.65" customHeight="1" x14ac:dyDescent="0.55000000000000004">
      <c r="A47" s="399"/>
      <c r="B47" s="375" t="s">
        <v>43</v>
      </c>
      <c r="C47" s="130" t="s">
        <v>22</v>
      </c>
      <c r="D47" s="165" t="s">
        <v>73</v>
      </c>
      <c r="E47" s="90">
        <v>4</v>
      </c>
      <c r="F47" s="91">
        <v>3</v>
      </c>
      <c r="G47" s="105"/>
      <c r="H47" s="167"/>
      <c r="I47" s="386"/>
      <c r="J47" s="195"/>
      <c r="K47" s="93"/>
      <c r="L47" s="196"/>
      <c r="M47" s="180"/>
      <c r="N47" s="171"/>
      <c r="O47" s="383"/>
      <c r="P47" s="154"/>
      <c r="R47" s="131"/>
      <c r="S47" s="131"/>
      <c r="T47" s="131"/>
    </row>
    <row r="48" spans="1:20" ht="15.65" customHeight="1" x14ac:dyDescent="0.55000000000000004">
      <c r="A48" s="399"/>
      <c r="B48" s="376"/>
      <c r="C48" s="95" t="s">
        <v>22</v>
      </c>
      <c r="D48" s="125" t="s">
        <v>74</v>
      </c>
      <c r="E48" s="97">
        <v>4</v>
      </c>
      <c r="F48" s="98">
        <v>3</v>
      </c>
      <c r="G48" s="97"/>
      <c r="H48" s="197"/>
      <c r="I48" s="386"/>
      <c r="J48" s="101"/>
      <c r="K48" s="99"/>
      <c r="L48" s="176"/>
      <c r="M48" s="180"/>
      <c r="N48" s="181"/>
      <c r="O48" s="383"/>
      <c r="P48" s="154"/>
      <c r="R48" s="131"/>
      <c r="S48" s="131"/>
      <c r="T48" s="131"/>
    </row>
    <row r="49" spans="1:20" ht="15.65" customHeight="1" x14ac:dyDescent="0.55000000000000004">
      <c r="A49" s="399"/>
      <c r="B49" s="376"/>
      <c r="C49" s="95" t="s">
        <v>22</v>
      </c>
      <c r="D49" s="125" t="s">
        <v>75</v>
      </c>
      <c r="E49" s="97">
        <v>4</v>
      </c>
      <c r="F49" s="98">
        <v>3</v>
      </c>
      <c r="G49" s="198"/>
      <c r="H49" s="111"/>
      <c r="I49" s="386"/>
      <c r="J49" s="176"/>
      <c r="K49" s="199"/>
      <c r="L49" s="101"/>
      <c r="M49" s="103"/>
      <c r="N49" s="181"/>
      <c r="O49" s="383"/>
      <c r="P49" s="154"/>
      <c r="R49" s="131"/>
      <c r="S49" s="131"/>
      <c r="T49" s="131"/>
    </row>
    <row r="50" spans="1:20" ht="15.65" customHeight="1" x14ac:dyDescent="0.55000000000000004">
      <c r="A50" s="399"/>
      <c r="B50" s="377"/>
      <c r="C50" s="187" t="s">
        <v>22</v>
      </c>
      <c r="D50" s="188" t="s">
        <v>76</v>
      </c>
      <c r="E50" s="116">
        <v>4</v>
      </c>
      <c r="F50" s="115">
        <v>3</v>
      </c>
      <c r="G50" s="200"/>
      <c r="H50" s="201"/>
      <c r="I50" s="386"/>
      <c r="J50" s="202"/>
      <c r="K50" s="200"/>
      <c r="L50" s="201"/>
      <c r="M50" s="112"/>
      <c r="N50" s="194"/>
      <c r="O50" s="383"/>
      <c r="P50" s="154"/>
      <c r="R50" s="131"/>
      <c r="S50" s="131"/>
      <c r="T50" s="131"/>
    </row>
    <row r="51" spans="1:20" ht="15.65" customHeight="1" x14ac:dyDescent="0.55000000000000004">
      <c r="A51" s="399"/>
      <c r="B51" s="375" t="s">
        <v>57</v>
      </c>
      <c r="C51" s="121" t="s">
        <v>54</v>
      </c>
      <c r="D51" s="203" t="s">
        <v>77</v>
      </c>
      <c r="E51" s="90">
        <v>3</v>
      </c>
      <c r="F51" s="91">
        <v>3</v>
      </c>
      <c r="G51" s="105"/>
      <c r="H51" s="106"/>
      <c r="I51" s="386"/>
      <c r="J51" s="204"/>
      <c r="K51" s="138"/>
      <c r="L51" s="205"/>
      <c r="M51" s="132"/>
      <c r="N51" s="171"/>
      <c r="O51" s="383"/>
      <c r="P51" s="154"/>
      <c r="R51" s="131"/>
      <c r="S51" s="131"/>
      <c r="T51" s="131"/>
    </row>
    <row r="52" spans="1:20" ht="15.65" customHeight="1" x14ac:dyDescent="0.55000000000000004">
      <c r="A52" s="399"/>
      <c r="B52" s="377"/>
      <c r="C52" s="95" t="s">
        <v>54</v>
      </c>
      <c r="D52" s="206" t="s">
        <v>78</v>
      </c>
      <c r="E52" s="128">
        <v>3</v>
      </c>
      <c r="F52" s="127">
        <v>3</v>
      </c>
      <c r="G52" s="128"/>
      <c r="H52" s="111"/>
      <c r="I52" s="379"/>
      <c r="J52" s="207"/>
      <c r="K52" s="110"/>
      <c r="L52" s="129"/>
      <c r="M52" s="140" t="s">
        <v>79</v>
      </c>
      <c r="N52" s="194"/>
      <c r="O52" s="383"/>
      <c r="P52" s="208"/>
      <c r="R52" s="131"/>
      <c r="S52" s="131"/>
      <c r="T52" s="131"/>
    </row>
    <row r="53" spans="1:20" ht="15.65" customHeight="1" x14ac:dyDescent="0.55000000000000004">
      <c r="A53" s="399"/>
      <c r="B53" s="209" t="s">
        <v>80</v>
      </c>
      <c r="C53" s="163" t="s">
        <v>22</v>
      </c>
      <c r="D53" s="157" t="s">
        <v>81</v>
      </c>
      <c r="E53" s="210">
        <v>4</v>
      </c>
      <c r="F53" s="211">
        <v>3</v>
      </c>
      <c r="G53" s="160"/>
      <c r="H53" s="162"/>
      <c r="I53" s="397" t="s">
        <v>82</v>
      </c>
      <c r="J53" s="162"/>
      <c r="K53" s="160"/>
      <c r="L53" s="162"/>
      <c r="M53" s="212"/>
      <c r="N53" s="164"/>
      <c r="O53" s="383"/>
      <c r="P53" s="213"/>
      <c r="R53" s="131"/>
      <c r="S53" s="131"/>
      <c r="T53" s="131"/>
    </row>
    <row r="54" spans="1:20" ht="15.65" customHeight="1" x14ac:dyDescent="0.55000000000000004">
      <c r="A54" s="399"/>
      <c r="B54" s="375" t="s">
        <v>83</v>
      </c>
      <c r="C54" s="121" t="s">
        <v>22</v>
      </c>
      <c r="D54" s="214" t="s">
        <v>84</v>
      </c>
      <c r="E54" s="123">
        <v>4</v>
      </c>
      <c r="F54" s="122">
        <v>3</v>
      </c>
      <c r="G54" s="215"/>
      <c r="H54" s="106"/>
      <c r="I54" s="386"/>
      <c r="J54" s="124"/>
      <c r="K54" s="109"/>
      <c r="L54" s="124"/>
      <c r="M54" s="140"/>
      <c r="N54" s="171"/>
      <c r="O54" s="383"/>
      <c r="P54" s="154"/>
      <c r="R54" s="131"/>
      <c r="S54" s="131"/>
      <c r="T54" s="131"/>
    </row>
    <row r="55" spans="1:20" ht="15.65" customHeight="1" x14ac:dyDescent="0.55000000000000004">
      <c r="A55" s="399"/>
      <c r="B55" s="377"/>
      <c r="C55" s="140" t="s">
        <v>22</v>
      </c>
      <c r="D55" s="125" t="s">
        <v>85</v>
      </c>
      <c r="E55" s="123">
        <v>4</v>
      </c>
      <c r="F55" s="122">
        <v>3</v>
      </c>
      <c r="G55" s="105"/>
      <c r="H55" s="111"/>
      <c r="I55" s="379"/>
      <c r="J55" s="129"/>
      <c r="K55" s="107"/>
      <c r="L55" s="129"/>
      <c r="M55" s="216"/>
      <c r="N55" s="217"/>
      <c r="O55" s="384"/>
      <c r="P55" s="218"/>
      <c r="R55" s="131"/>
      <c r="S55" s="131"/>
      <c r="T55" s="131"/>
    </row>
    <row r="56" spans="1:20" ht="15.65" customHeight="1" x14ac:dyDescent="0.55000000000000004">
      <c r="A56" s="399"/>
      <c r="B56" s="155" t="s">
        <v>18</v>
      </c>
      <c r="C56" s="156" t="s">
        <v>54</v>
      </c>
      <c r="D56" s="157" t="s">
        <v>86</v>
      </c>
      <c r="E56" s="162">
        <v>4</v>
      </c>
      <c r="F56" s="210">
        <v>3</v>
      </c>
      <c r="G56" s="219"/>
      <c r="H56" s="161"/>
      <c r="I56" s="158"/>
      <c r="J56" s="397" t="s">
        <v>66</v>
      </c>
      <c r="K56" s="160"/>
      <c r="L56" s="162"/>
      <c r="M56" s="156"/>
      <c r="N56" s="67"/>
      <c r="O56" s="421">
        <v>15</v>
      </c>
      <c r="P56" s="220"/>
      <c r="R56" s="131"/>
      <c r="S56" s="131"/>
      <c r="T56" s="131"/>
    </row>
    <row r="57" spans="1:20" ht="15.65" customHeight="1" x14ac:dyDescent="0.55000000000000004">
      <c r="A57" s="399"/>
      <c r="B57" s="155" t="s">
        <v>26</v>
      </c>
      <c r="C57" s="156" t="s">
        <v>54</v>
      </c>
      <c r="D57" s="157" t="s">
        <v>87</v>
      </c>
      <c r="E57" s="158">
        <v>4</v>
      </c>
      <c r="F57" s="159">
        <v>3</v>
      </c>
      <c r="G57" s="158"/>
      <c r="H57" s="161"/>
      <c r="I57" s="158"/>
      <c r="J57" s="386"/>
      <c r="K57" s="160"/>
      <c r="L57" s="162"/>
      <c r="M57" s="156"/>
      <c r="N57" s="221"/>
      <c r="O57" s="386"/>
      <c r="P57" s="220"/>
      <c r="R57" s="131"/>
      <c r="S57" s="131"/>
      <c r="T57" s="131"/>
    </row>
    <row r="58" spans="1:20" ht="15.65" customHeight="1" x14ac:dyDescent="0.55000000000000004">
      <c r="A58" s="399"/>
      <c r="B58" s="222" t="s">
        <v>32</v>
      </c>
      <c r="C58" s="121" t="s">
        <v>51</v>
      </c>
      <c r="D58" s="223" t="s">
        <v>88</v>
      </c>
      <c r="E58" s="116">
        <v>4</v>
      </c>
      <c r="F58" s="224">
        <v>3</v>
      </c>
      <c r="G58" s="116"/>
      <c r="H58" s="117"/>
      <c r="I58" s="116"/>
      <c r="J58" s="386"/>
      <c r="K58" s="118"/>
      <c r="L58" s="152"/>
      <c r="M58" s="225"/>
      <c r="N58" s="221"/>
      <c r="O58" s="386"/>
      <c r="P58" s="220"/>
      <c r="R58" s="131"/>
      <c r="S58" s="131"/>
      <c r="T58" s="131"/>
    </row>
    <row r="59" spans="1:20" ht="15.65" customHeight="1" x14ac:dyDescent="0.55000000000000004">
      <c r="A59" s="399"/>
      <c r="B59" s="375" t="s">
        <v>38</v>
      </c>
      <c r="C59" s="88" t="s">
        <v>54</v>
      </c>
      <c r="D59" s="89" t="s">
        <v>89</v>
      </c>
      <c r="E59" s="91">
        <v>4</v>
      </c>
      <c r="F59" s="91">
        <v>3</v>
      </c>
      <c r="G59" s="215"/>
      <c r="H59" s="167"/>
      <c r="I59" s="168"/>
      <c r="J59" s="386"/>
      <c r="K59" s="169"/>
      <c r="L59" s="170"/>
      <c r="M59" s="121"/>
      <c r="N59" s="48"/>
      <c r="O59" s="386"/>
      <c r="P59" s="220"/>
      <c r="R59" s="131"/>
      <c r="S59" s="131"/>
      <c r="T59" s="131"/>
    </row>
    <row r="60" spans="1:20" ht="15.65" customHeight="1" x14ac:dyDescent="0.55000000000000004">
      <c r="A60" s="399"/>
      <c r="B60" s="376"/>
      <c r="C60" s="102" t="s">
        <v>54</v>
      </c>
      <c r="D60" s="226" t="s">
        <v>90</v>
      </c>
      <c r="E60" s="97">
        <v>4</v>
      </c>
      <c r="F60" s="98">
        <v>3</v>
      </c>
      <c r="G60" s="97"/>
      <c r="H60" s="183"/>
      <c r="I60" s="177"/>
      <c r="J60" s="386"/>
      <c r="K60" s="178"/>
      <c r="L60" s="179"/>
      <c r="M60" s="121"/>
      <c r="N60" s="33"/>
      <c r="O60" s="386"/>
      <c r="P60" s="220"/>
      <c r="R60" s="131"/>
      <c r="S60" s="131"/>
      <c r="T60" s="131"/>
    </row>
    <row r="61" spans="1:20" ht="15.65" customHeight="1" x14ac:dyDescent="0.55000000000000004">
      <c r="A61" s="399"/>
      <c r="B61" s="376"/>
      <c r="C61" s="95" t="s">
        <v>51</v>
      </c>
      <c r="D61" s="206" t="s">
        <v>91</v>
      </c>
      <c r="E61" s="128">
        <v>4</v>
      </c>
      <c r="F61" s="127">
        <v>3</v>
      </c>
      <c r="G61" s="128"/>
      <c r="H61" s="197"/>
      <c r="I61" s="177"/>
      <c r="J61" s="386"/>
      <c r="K61" s="178"/>
      <c r="L61" s="179"/>
      <c r="M61" s="102"/>
      <c r="N61" s="33"/>
      <c r="O61" s="386"/>
      <c r="P61" s="220"/>
      <c r="R61" s="131"/>
      <c r="S61" s="131"/>
      <c r="T61" s="131"/>
    </row>
    <row r="62" spans="1:20" ht="15.65" customHeight="1" x14ac:dyDescent="0.55000000000000004">
      <c r="A62" s="399"/>
      <c r="B62" s="376"/>
      <c r="C62" s="102" t="s">
        <v>54</v>
      </c>
      <c r="D62" s="96" t="s">
        <v>92</v>
      </c>
      <c r="E62" s="97">
        <v>4</v>
      </c>
      <c r="F62" s="98">
        <v>3</v>
      </c>
      <c r="G62" s="97"/>
      <c r="H62" s="183"/>
      <c r="I62" s="177"/>
      <c r="J62" s="386"/>
      <c r="K62" s="178"/>
      <c r="L62" s="227"/>
      <c r="M62" s="228"/>
      <c r="N62" s="33"/>
      <c r="O62" s="386"/>
      <c r="P62" s="220"/>
      <c r="R62" s="131"/>
      <c r="S62" s="131"/>
      <c r="T62" s="131"/>
    </row>
    <row r="63" spans="1:20" ht="15.65" customHeight="1" x14ac:dyDescent="0.55000000000000004">
      <c r="A63" s="399"/>
      <c r="B63" s="376"/>
      <c r="C63" s="102" t="s">
        <v>54</v>
      </c>
      <c r="D63" s="96" t="s">
        <v>93</v>
      </c>
      <c r="E63" s="97">
        <v>4</v>
      </c>
      <c r="F63" s="98">
        <v>3</v>
      </c>
      <c r="G63" s="97"/>
      <c r="H63" s="183"/>
      <c r="I63" s="177"/>
      <c r="J63" s="386"/>
      <c r="K63" s="178"/>
      <c r="L63" s="179"/>
      <c r="M63" s="102"/>
      <c r="N63" s="33"/>
      <c r="O63" s="386"/>
      <c r="P63" s="220"/>
      <c r="Q63" s="120"/>
      <c r="R63" s="131"/>
      <c r="S63" s="131"/>
      <c r="T63" s="131"/>
    </row>
    <row r="64" spans="1:20" ht="15.65" customHeight="1" x14ac:dyDescent="0.55000000000000004">
      <c r="A64" s="399"/>
      <c r="B64" s="377"/>
      <c r="C64" s="225" t="s">
        <v>54</v>
      </c>
      <c r="D64" s="229" t="s">
        <v>94</v>
      </c>
      <c r="E64" s="105">
        <v>4</v>
      </c>
      <c r="F64" s="123">
        <v>3</v>
      </c>
      <c r="G64" s="105"/>
      <c r="H64" s="230"/>
      <c r="I64" s="231"/>
      <c r="J64" s="386"/>
      <c r="K64" s="192"/>
      <c r="L64" s="232"/>
      <c r="M64" s="130"/>
      <c r="N64" s="40"/>
      <c r="O64" s="386"/>
      <c r="P64" s="220"/>
      <c r="R64" s="131"/>
      <c r="S64" s="131"/>
      <c r="T64" s="131"/>
    </row>
    <row r="65" spans="1:20" ht="15.65" customHeight="1" x14ac:dyDescent="0.55000000000000004">
      <c r="A65" s="399"/>
      <c r="B65" s="375" t="s">
        <v>43</v>
      </c>
      <c r="C65" s="102" t="s">
        <v>54</v>
      </c>
      <c r="D65" s="233" t="s">
        <v>95</v>
      </c>
      <c r="E65" s="90">
        <v>4</v>
      </c>
      <c r="F65" s="91">
        <v>3</v>
      </c>
      <c r="G65" s="90"/>
      <c r="H65" s="234"/>
      <c r="I65" s="90"/>
      <c r="J65" s="386"/>
      <c r="K65" s="93"/>
      <c r="L65" s="196"/>
      <c r="M65" s="88"/>
      <c r="N65" s="48"/>
      <c r="O65" s="386"/>
      <c r="P65" s="220"/>
      <c r="R65" s="131"/>
      <c r="S65" s="131"/>
      <c r="T65" s="131"/>
    </row>
    <row r="66" spans="1:20" ht="15.65" customHeight="1" x14ac:dyDescent="0.55000000000000004">
      <c r="A66" s="399"/>
      <c r="B66" s="376"/>
      <c r="C66" s="102" t="s">
        <v>54</v>
      </c>
      <c r="D66" s="233" t="s">
        <v>96</v>
      </c>
      <c r="E66" s="97">
        <v>4</v>
      </c>
      <c r="F66" s="98">
        <v>3</v>
      </c>
      <c r="G66" s="97"/>
      <c r="H66" s="183"/>
      <c r="I66" s="97"/>
      <c r="J66" s="386"/>
      <c r="K66" s="99"/>
      <c r="L66" s="176"/>
      <c r="M66" s="121"/>
      <c r="N66" s="33"/>
      <c r="O66" s="386"/>
      <c r="P66" s="220"/>
      <c r="R66" s="131"/>
      <c r="S66" s="131"/>
      <c r="T66" s="131"/>
    </row>
    <row r="67" spans="1:20" ht="15.65" customHeight="1" x14ac:dyDescent="0.55000000000000004">
      <c r="A67" s="399"/>
      <c r="B67" s="376"/>
      <c r="C67" s="102" t="s">
        <v>54</v>
      </c>
      <c r="D67" s="233" t="s">
        <v>97</v>
      </c>
      <c r="E67" s="97">
        <v>4</v>
      </c>
      <c r="F67" s="98">
        <v>3</v>
      </c>
      <c r="G67" s="235"/>
      <c r="H67" s="100"/>
      <c r="I67" s="235"/>
      <c r="J67" s="386"/>
      <c r="K67" s="199"/>
      <c r="L67" s="101"/>
      <c r="M67" s="121"/>
      <c r="N67" s="33"/>
      <c r="O67" s="386"/>
      <c r="P67" s="220"/>
      <c r="R67" s="131"/>
      <c r="S67" s="131"/>
      <c r="T67" s="131"/>
    </row>
    <row r="68" spans="1:20" ht="15.65" customHeight="1" x14ac:dyDescent="0.55000000000000004">
      <c r="A68" s="399"/>
      <c r="B68" s="377"/>
      <c r="C68" s="187" t="s">
        <v>54</v>
      </c>
      <c r="D68" s="236" t="s">
        <v>98</v>
      </c>
      <c r="E68" s="189">
        <v>4</v>
      </c>
      <c r="F68" s="237">
        <v>3</v>
      </c>
      <c r="G68" s="238"/>
      <c r="H68" s="239"/>
      <c r="I68" s="238"/>
      <c r="J68" s="386"/>
      <c r="K68" s="200"/>
      <c r="L68" s="201"/>
      <c r="M68" s="225"/>
      <c r="N68" s="40"/>
      <c r="O68" s="386"/>
      <c r="P68" s="220"/>
      <c r="R68" s="131"/>
      <c r="S68" s="131"/>
      <c r="T68" s="131"/>
    </row>
    <row r="69" spans="1:20" ht="15.65" customHeight="1" x14ac:dyDescent="0.55000000000000004">
      <c r="A69" s="399"/>
      <c r="B69" s="375" t="s">
        <v>57</v>
      </c>
      <c r="C69" s="121" t="s">
        <v>51</v>
      </c>
      <c r="D69" s="223" t="s">
        <v>99</v>
      </c>
      <c r="E69" s="105">
        <v>3</v>
      </c>
      <c r="F69" s="123">
        <v>3</v>
      </c>
      <c r="G69" s="105"/>
      <c r="H69" s="106"/>
      <c r="I69" s="105"/>
      <c r="J69" s="386"/>
      <c r="K69" s="107"/>
      <c r="L69" s="124"/>
      <c r="M69" s="88" t="s">
        <v>79</v>
      </c>
      <c r="N69" s="48"/>
      <c r="O69" s="386"/>
      <c r="P69" s="220"/>
      <c r="R69" s="131"/>
      <c r="S69" s="131"/>
      <c r="T69" s="131"/>
    </row>
    <row r="70" spans="1:20" ht="15.65" customHeight="1" x14ac:dyDescent="0.55000000000000004">
      <c r="A70" s="399"/>
      <c r="B70" s="377"/>
      <c r="C70" s="187" t="s">
        <v>54</v>
      </c>
      <c r="D70" s="236" t="s">
        <v>100</v>
      </c>
      <c r="E70" s="189">
        <v>3</v>
      </c>
      <c r="F70" s="237">
        <v>3</v>
      </c>
      <c r="G70" s="189"/>
      <c r="H70" s="239"/>
      <c r="I70" s="189"/>
      <c r="J70" s="379"/>
      <c r="K70" s="240"/>
      <c r="L70" s="201"/>
      <c r="M70" s="225"/>
      <c r="N70" s="40"/>
      <c r="O70" s="386"/>
      <c r="P70" s="241"/>
      <c r="R70" s="131"/>
      <c r="S70" s="131"/>
      <c r="T70" s="131"/>
    </row>
    <row r="71" spans="1:20" ht="15.65" customHeight="1" x14ac:dyDescent="0.55000000000000004">
      <c r="A71" s="399"/>
      <c r="B71" s="155" t="s">
        <v>80</v>
      </c>
      <c r="C71" s="163" t="s">
        <v>54</v>
      </c>
      <c r="D71" s="157" t="s">
        <v>101</v>
      </c>
      <c r="E71" s="210">
        <v>4</v>
      </c>
      <c r="F71" s="210">
        <v>3</v>
      </c>
      <c r="G71" s="158"/>
      <c r="H71" s="161"/>
      <c r="I71" s="158"/>
      <c r="J71" s="408" t="s">
        <v>82</v>
      </c>
      <c r="K71" s="160"/>
      <c r="L71" s="162"/>
      <c r="M71" s="156"/>
      <c r="N71" s="221"/>
      <c r="O71" s="386"/>
      <c r="P71" s="220"/>
      <c r="R71" s="131"/>
      <c r="S71" s="131"/>
      <c r="T71" s="131"/>
    </row>
    <row r="72" spans="1:20" ht="15.65" customHeight="1" x14ac:dyDescent="0.55000000000000004">
      <c r="A72" s="399"/>
      <c r="B72" s="436" t="s">
        <v>83</v>
      </c>
      <c r="C72" s="180" t="s">
        <v>54</v>
      </c>
      <c r="D72" s="104" t="s">
        <v>102</v>
      </c>
      <c r="E72" s="123">
        <v>4</v>
      </c>
      <c r="F72" s="242">
        <v>3</v>
      </c>
      <c r="G72" s="215"/>
      <c r="H72" s="108"/>
      <c r="I72" s="105"/>
      <c r="J72" s="386"/>
      <c r="K72" s="107"/>
      <c r="L72" s="124"/>
      <c r="M72" s="121"/>
      <c r="N72" s="48"/>
      <c r="O72" s="386"/>
      <c r="P72" s="220"/>
    </row>
    <row r="73" spans="1:20" ht="15.65" customHeight="1" thickBot="1" x14ac:dyDescent="0.6">
      <c r="A73" s="417"/>
      <c r="B73" s="413"/>
      <c r="C73" s="243" t="s">
        <v>54</v>
      </c>
      <c r="D73" s="244" t="s">
        <v>103</v>
      </c>
      <c r="E73" s="143">
        <v>4</v>
      </c>
      <c r="F73" s="245">
        <v>3</v>
      </c>
      <c r="G73" s="246"/>
      <c r="H73" s="145"/>
      <c r="I73" s="247"/>
      <c r="J73" s="390"/>
      <c r="K73" s="144"/>
      <c r="L73" s="248"/>
      <c r="M73" s="249"/>
      <c r="N73" s="250"/>
      <c r="O73" s="422"/>
      <c r="P73" s="251"/>
    </row>
    <row r="74" spans="1:20" ht="15.65" customHeight="1" x14ac:dyDescent="0.55000000000000004">
      <c r="A74" s="398" t="s">
        <v>104</v>
      </c>
      <c r="B74" s="148" t="s">
        <v>18</v>
      </c>
      <c r="C74" s="252" t="s">
        <v>51</v>
      </c>
      <c r="D74" s="253" t="s">
        <v>105</v>
      </c>
      <c r="E74" s="254">
        <v>4</v>
      </c>
      <c r="F74" s="255">
        <v>3</v>
      </c>
      <c r="G74" s="254"/>
      <c r="H74" s="256"/>
      <c r="I74" s="257"/>
      <c r="J74" s="258"/>
      <c r="K74" s="410" t="s">
        <v>106</v>
      </c>
      <c r="L74" s="259"/>
      <c r="M74" s="260"/>
      <c r="N74" s="261"/>
      <c r="O74" s="395">
        <v>14</v>
      </c>
      <c r="P74" s="220"/>
    </row>
    <row r="75" spans="1:20" ht="15.65" customHeight="1" x14ac:dyDescent="0.55000000000000004">
      <c r="A75" s="399"/>
      <c r="B75" s="155" t="s">
        <v>26</v>
      </c>
      <c r="C75" s="156" t="s">
        <v>54</v>
      </c>
      <c r="D75" s="262" t="s">
        <v>107</v>
      </c>
      <c r="E75" s="158">
        <v>4</v>
      </c>
      <c r="F75" s="159">
        <v>3</v>
      </c>
      <c r="G75" s="158"/>
      <c r="H75" s="161"/>
      <c r="I75" s="160"/>
      <c r="J75" s="162"/>
      <c r="K75" s="386"/>
      <c r="L75" s="263"/>
      <c r="M75" s="180"/>
      <c r="N75" s="221"/>
      <c r="O75" s="386"/>
      <c r="P75" s="220"/>
    </row>
    <row r="76" spans="1:20" ht="15.65" customHeight="1" x14ac:dyDescent="0.55000000000000004">
      <c r="A76" s="399"/>
      <c r="B76" s="222" t="s">
        <v>32</v>
      </c>
      <c r="C76" s="121" t="s">
        <v>54</v>
      </c>
      <c r="D76" s="203" t="s">
        <v>108</v>
      </c>
      <c r="E76" s="158">
        <v>4</v>
      </c>
      <c r="F76" s="159">
        <v>3</v>
      </c>
      <c r="G76" s="158"/>
      <c r="H76" s="161"/>
      <c r="I76" s="160"/>
      <c r="J76" s="162"/>
      <c r="K76" s="386"/>
      <c r="L76" s="263"/>
      <c r="M76" s="163"/>
      <c r="N76" s="221"/>
      <c r="O76" s="386"/>
      <c r="P76" s="220"/>
    </row>
    <row r="77" spans="1:20" ht="15.65" customHeight="1" x14ac:dyDescent="0.55000000000000004">
      <c r="A77" s="399"/>
      <c r="B77" s="375" t="s">
        <v>38</v>
      </c>
      <c r="C77" s="88" t="s">
        <v>54</v>
      </c>
      <c r="D77" s="89" t="s">
        <v>89</v>
      </c>
      <c r="E77" s="215">
        <v>4</v>
      </c>
      <c r="F77" s="264">
        <v>3</v>
      </c>
      <c r="G77" s="90"/>
      <c r="H77" s="234"/>
      <c r="I77" s="169"/>
      <c r="J77" s="170"/>
      <c r="K77" s="386"/>
      <c r="L77" s="265"/>
      <c r="M77" s="88"/>
      <c r="N77" s="48"/>
      <c r="O77" s="386"/>
      <c r="P77" s="220"/>
    </row>
    <row r="78" spans="1:20" ht="15.65" customHeight="1" x14ac:dyDescent="0.55000000000000004">
      <c r="A78" s="399"/>
      <c r="B78" s="376"/>
      <c r="C78" s="102" t="s">
        <v>54</v>
      </c>
      <c r="D78" s="96" t="s">
        <v>109</v>
      </c>
      <c r="E78" s="97">
        <v>4</v>
      </c>
      <c r="F78" s="182">
        <v>3</v>
      </c>
      <c r="G78" s="97"/>
      <c r="H78" s="183"/>
      <c r="I78" s="178"/>
      <c r="J78" s="179"/>
      <c r="K78" s="386"/>
      <c r="L78" s="266"/>
      <c r="M78" s="103"/>
      <c r="N78" s="60"/>
      <c r="O78" s="386"/>
      <c r="P78" s="220"/>
    </row>
    <row r="79" spans="1:20" ht="15.65" customHeight="1" x14ac:dyDescent="0.55000000000000004">
      <c r="A79" s="399"/>
      <c r="B79" s="376"/>
      <c r="C79" s="95" t="s">
        <v>54</v>
      </c>
      <c r="D79" s="226" t="s">
        <v>110</v>
      </c>
      <c r="E79" s="97">
        <v>4</v>
      </c>
      <c r="F79" s="182">
        <v>3</v>
      </c>
      <c r="G79" s="97"/>
      <c r="H79" s="183"/>
      <c r="I79" s="178"/>
      <c r="J79" s="179"/>
      <c r="K79" s="386"/>
      <c r="L79" s="266"/>
      <c r="M79" s="102"/>
      <c r="N79" s="33"/>
      <c r="O79" s="386"/>
      <c r="P79" s="220"/>
      <c r="Q79" s="267"/>
    </row>
    <row r="80" spans="1:20" ht="15.65" customHeight="1" x14ac:dyDescent="0.55000000000000004">
      <c r="A80" s="399"/>
      <c r="B80" s="376"/>
      <c r="C80" s="102" t="s">
        <v>54</v>
      </c>
      <c r="D80" s="233" t="s">
        <v>111</v>
      </c>
      <c r="E80" s="101">
        <v>4</v>
      </c>
      <c r="F80" s="268">
        <v>3</v>
      </c>
      <c r="G80" s="269"/>
      <c r="H80" s="270"/>
      <c r="I80" s="271"/>
      <c r="J80" s="272"/>
      <c r="K80" s="386"/>
      <c r="L80" s="266"/>
      <c r="M80" s="102"/>
      <c r="N80" s="33"/>
      <c r="O80" s="386"/>
      <c r="P80" s="220"/>
      <c r="Q80" s="267"/>
    </row>
    <row r="81" spans="1:17" ht="15.65" customHeight="1" x14ac:dyDescent="0.55000000000000004">
      <c r="A81" s="399"/>
      <c r="B81" s="377"/>
      <c r="C81" s="225" t="s">
        <v>54</v>
      </c>
      <c r="D81" s="229" t="s">
        <v>112</v>
      </c>
      <c r="E81" s="115">
        <v>4</v>
      </c>
      <c r="F81" s="273">
        <v>3</v>
      </c>
      <c r="G81" s="118"/>
      <c r="H81" s="274"/>
      <c r="I81" s="275"/>
      <c r="J81" s="276"/>
      <c r="K81" s="386"/>
      <c r="L81" s="277"/>
      <c r="M81" s="112"/>
      <c r="N81" s="40"/>
      <c r="O81" s="386"/>
      <c r="P81" s="220"/>
    </row>
    <row r="82" spans="1:17" ht="15.65" customHeight="1" x14ac:dyDescent="0.55000000000000004">
      <c r="A82" s="399"/>
      <c r="B82" s="375" t="s">
        <v>113</v>
      </c>
      <c r="C82" s="121" t="s">
        <v>54</v>
      </c>
      <c r="D82" s="203" t="s">
        <v>114</v>
      </c>
      <c r="E82" s="215">
        <v>4</v>
      </c>
      <c r="F82" s="264">
        <v>3</v>
      </c>
      <c r="G82" s="90"/>
      <c r="H82" s="234"/>
      <c r="I82" s="278"/>
      <c r="J82" s="196"/>
      <c r="K82" s="386"/>
      <c r="L82" s="265"/>
      <c r="M82" s="180"/>
      <c r="N82" s="48"/>
      <c r="O82" s="386"/>
      <c r="P82" s="220"/>
    </row>
    <row r="83" spans="1:17" ht="15.65" customHeight="1" x14ac:dyDescent="0.55000000000000004">
      <c r="A83" s="399"/>
      <c r="B83" s="376"/>
      <c r="C83" s="102" t="s">
        <v>54</v>
      </c>
      <c r="D83" s="226" t="s">
        <v>115</v>
      </c>
      <c r="E83" s="215">
        <v>4</v>
      </c>
      <c r="F83" s="264">
        <v>3</v>
      </c>
      <c r="G83" s="235"/>
      <c r="H83" s="100"/>
      <c r="I83" s="99"/>
      <c r="J83" s="101"/>
      <c r="K83" s="386"/>
      <c r="L83" s="266"/>
      <c r="M83" s="180"/>
      <c r="N83" s="33"/>
      <c r="O83" s="386"/>
      <c r="P83" s="220"/>
    </row>
    <row r="84" spans="1:17" ht="15.65" customHeight="1" x14ac:dyDescent="0.55000000000000004">
      <c r="A84" s="399"/>
      <c r="B84" s="376"/>
      <c r="C84" s="95" t="s">
        <v>54</v>
      </c>
      <c r="D84" s="206" t="s">
        <v>116</v>
      </c>
      <c r="E84" s="215">
        <v>4</v>
      </c>
      <c r="F84" s="182">
        <v>3</v>
      </c>
      <c r="G84" s="279"/>
      <c r="H84" s="280"/>
      <c r="I84" s="175"/>
      <c r="J84" s="101"/>
      <c r="K84" s="386"/>
      <c r="L84" s="266"/>
      <c r="M84" s="103"/>
      <c r="N84" s="33"/>
      <c r="O84" s="386"/>
      <c r="P84" s="220"/>
    </row>
    <row r="85" spans="1:17" ht="15.65" customHeight="1" x14ac:dyDescent="0.55000000000000004">
      <c r="A85" s="399"/>
      <c r="B85" s="376"/>
      <c r="C85" s="95" t="s">
        <v>54</v>
      </c>
      <c r="D85" s="125" t="s">
        <v>117</v>
      </c>
      <c r="E85" s="215">
        <v>4</v>
      </c>
      <c r="F85" s="182">
        <v>3</v>
      </c>
      <c r="G85" s="279"/>
      <c r="H85" s="100"/>
      <c r="I85" s="99"/>
      <c r="J85" s="101"/>
      <c r="K85" s="386"/>
      <c r="L85" s="266"/>
      <c r="M85" s="103"/>
      <c r="N85" s="33"/>
      <c r="O85" s="386"/>
      <c r="P85" s="220"/>
    </row>
    <row r="86" spans="1:17" ht="15.65" customHeight="1" x14ac:dyDescent="0.55000000000000004">
      <c r="A86" s="399"/>
      <c r="B86" s="377"/>
      <c r="C86" s="187" t="s">
        <v>51</v>
      </c>
      <c r="D86" s="188" t="s">
        <v>118</v>
      </c>
      <c r="E86" s="105">
        <v>4</v>
      </c>
      <c r="F86" s="281">
        <v>3</v>
      </c>
      <c r="G86" s="282"/>
      <c r="H86" s="106"/>
      <c r="I86" s="107"/>
      <c r="J86" s="124"/>
      <c r="K86" s="386"/>
      <c r="L86" s="283"/>
      <c r="M86" s="140"/>
      <c r="N86" s="40"/>
      <c r="O86" s="386"/>
      <c r="P86" s="220"/>
    </row>
    <row r="87" spans="1:17" ht="15.65" customHeight="1" x14ac:dyDescent="0.55000000000000004">
      <c r="A87" s="399"/>
      <c r="B87" s="222" t="s">
        <v>61</v>
      </c>
      <c r="C87" s="130" t="s">
        <v>54</v>
      </c>
      <c r="D87" s="284" t="s">
        <v>119</v>
      </c>
      <c r="E87" s="158">
        <v>3</v>
      </c>
      <c r="F87" s="159">
        <v>3</v>
      </c>
      <c r="G87" s="285"/>
      <c r="H87" s="161"/>
      <c r="I87" s="160"/>
      <c r="J87" s="162"/>
      <c r="K87" s="379"/>
      <c r="L87" s="263"/>
      <c r="M87" s="163"/>
      <c r="N87" s="221"/>
      <c r="O87" s="386"/>
      <c r="P87" s="220"/>
    </row>
    <row r="88" spans="1:17" ht="15.65" customHeight="1" x14ac:dyDescent="0.55000000000000004">
      <c r="A88" s="399"/>
      <c r="B88" s="375" t="s">
        <v>57</v>
      </c>
      <c r="C88" s="88" t="s">
        <v>54</v>
      </c>
      <c r="D88" s="89" t="s">
        <v>120</v>
      </c>
      <c r="E88" s="90">
        <v>3</v>
      </c>
      <c r="F88" s="91">
        <v>2</v>
      </c>
      <c r="G88" s="286"/>
      <c r="H88" s="234"/>
      <c r="I88" s="278"/>
      <c r="J88" s="287"/>
      <c r="K88" s="378" t="s">
        <v>121</v>
      </c>
      <c r="L88" s="265"/>
      <c r="M88" s="132"/>
      <c r="N88" s="48"/>
      <c r="O88" s="386"/>
      <c r="P88" s="288"/>
    </row>
    <row r="89" spans="1:17" ht="15.65" customHeight="1" x14ac:dyDescent="0.55000000000000004">
      <c r="A89" s="399"/>
      <c r="B89" s="377"/>
      <c r="C89" s="187" t="s">
        <v>51</v>
      </c>
      <c r="D89" s="289" t="s">
        <v>122</v>
      </c>
      <c r="E89" s="189">
        <v>3</v>
      </c>
      <c r="F89" s="237">
        <v>2</v>
      </c>
      <c r="G89" s="189"/>
      <c r="H89" s="239"/>
      <c r="I89" s="240"/>
      <c r="J89" s="290"/>
      <c r="K89" s="379"/>
      <c r="L89" s="291"/>
      <c r="M89" s="193"/>
      <c r="N89" s="40"/>
      <c r="O89" s="386"/>
      <c r="P89" s="292"/>
    </row>
    <row r="90" spans="1:17" ht="15.65" customHeight="1" x14ac:dyDescent="0.55000000000000004">
      <c r="A90" s="399"/>
      <c r="B90" s="293" t="s">
        <v>80</v>
      </c>
      <c r="C90" s="156" t="s">
        <v>54</v>
      </c>
      <c r="D90" s="262" t="s">
        <v>123</v>
      </c>
      <c r="E90" s="215">
        <v>4</v>
      </c>
      <c r="F90" s="242">
        <v>3</v>
      </c>
      <c r="G90" s="215"/>
      <c r="H90" s="108"/>
      <c r="I90" s="109"/>
      <c r="J90" s="195"/>
      <c r="K90" s="397" t="s">
        <v>82</v>
      </c>
      <c r="L90" s="263"/>
      <c r="M90" s="180"/>
      <c r="N90" s="221"/>
      <c r="O90" s="386"/>
      <c r="P90" s="288"/>
    </row>
    <row r="91" spans="1:17" ht="15.65" customHeight="1" x14ac:dyDescent="0.55000000000000004">
      <c r="A91" s="399"/>
      <c r="B91" s="375" t="s">
        <v>83</v>
      </c>
      <c r="C91" s="121" t="s">
        <v>51</v>
      </c>
      <c r="D91" s="203" t="s">
        <v>124</v>
      </c>
      <c r="E91" s="90">
        <v>4</v>
      </c>
      <c r="F91" s="91">
        <v>3</v>
      </c>
      <c r="G91" s="90"/>
      <c r="H91" s="92"/>
      <c r="I91" s="93"/>
      <c r="J91" s="94"/>
      <c r="K91" s="386"/>
      <c r="L91" s="265"/>
      <c r="M91" s="132"/>
      <c r="N91" s="48"/>
      <c r="O91" s="386"/>
      <c r="P91" s="220"/>
    </row>
    <row r="92" spans="1:17" ht="15.65" customHeight="1" x14ac:dyDescent="0.55000000000000004">
      <c r="A92" s="399"/>
      <c r="B92" s="377"/>
      <c r="C92" s="187" t="s">
        <v>51</v>
      </c>
      <c r="D92" s="289" t="s">
        <v>125</v>
      </c>
      <c r="E92" s="189">
        <v>4</v>
      </c>
      <c r="F92" s="237">
        <v>3</v>
      </c>
      <c r="G92" s="189"/>
      <c r="H92" s="239"/>
      <c r="I92" s="240"/>
      <c r="J92" s="201"/>
      <c r="K92" s="379"/>
      <c r="L92" s="291"/>
      <c r="M92" s="112"/>
      <c r="N92" s="40"/>
      <c r="O92" s="396"/>
      <c r="P92" s="220"/>
    </row>
    <row r="93" spans="1:17" ht="15.65" customHeight="1" x14ac:dyDescent="0.55000000000000004">
      <c r="A93" s="399"/>
      <c r="B93" s="375" t="s">
        <v>126</v>
      </c>
      <c r="C93" s="130" t="s">
        <v>54</v>
      </c>
      <c r="D93" s="165" t="s">
        <v>127</v>
      </c>
      <c r="E93" s="105">
        <v>4</v>
      </c>
      <c r="F93" s="123">
        <v>3</v>
      </c>
      <c r="G93" s="105"/>
      <c r="H93" s="106"/>
      <c r="I93" s="107"/>
      <c r="J93" s="124"/>
      <c r="K93" s="294"/>
      <c r="L93" s="378" t="s">
        <v>128</v>
      </c>
      <c r="M93" s="295"/>
      <c r="N93" s="48"/>
      <c r="O93" s="442">
        <v>26</v>
      </c>
      <c r="P93" s="296"/>
    </row>
    <row r="94" spans="1:17" ht="15.65" customHeight="1" x14ac:dyDescent="0.55000000000000004">
      <c r="A94" s="399"/>
      <c r="B94" s="377"/>
      <c r="C94" s="95" t="s">
        <v>51</v>
      </c>
      <c r="D94" s="297" t="s">
        <v>129</v>
      </c>
      <c r="E94" s="128">
        <v>4</v>
      </c>
      <c r="F94" s="127">
        <v>3</v>
      </c>
      <c r="G94" s="128"/>
      <c r="H94" s="111"/>
      <c r="I94" s="110"/>
      <c r="J94" s="129"/>
      <c r="K94" s="298"/>
      <c r="L94" s="386"/>
      <c r="M94" s="299"/>
      <c r="N94" s="40"/>
      <c r="O94" s="383"/>
      <c r="P94" s="300"/>
    </row>
    <row r="95" spans="1:17" ht="15.65" customHeight="1" x14ac:dyDescent="0.55000000000000004">
      <c r="A95" s="399"/>
      <c r="B95" s="375" t="s">
        <v>130</v>
      </c>
      <c r="C95" s="88" t="s">
        <v>54</v>
      </c>
      <c r="D95" s="301" t="s">
        <v>131</v>
      </c>
      <c r="E95" s="90">
        <v>4</v>
      </c>
      <c r="F95" s="91">
        <v>3</v>
      </c>
      <c r="G95" s="90"/>
      <c r="H95" s="92"/>
      <c r="I95" s="93"/>
      <c r="J95" s="94"/>
      <c r="K95" s="168"/>
      <c r="L95" s="386"/>
      <c r="M95" s="302"/>
      <c r="N95" s="48"/>
      <c r="O95" s="383"/>
      <c r="P95" s="300"/>
      <c r="Q95" s="120"/>
    </row>
    <row r="96" spans="1:17" ht="15.65" customHeight="1" x14ac:dyDescent="0.55000000000000004">
      <c r="A96" s="399"/>
      <c r="B96" s="377"/>
      <c r="C96" s="225" t="s">
        <v>51</v>
      </c>
      <c r="D96" s="303" t="s">
        <v>132</v>
      </c>
      <c r="E96" s="116">
        <v>4</v>
      </c>
      <c r="F96" s="115">
        <v>3</v>
      </c>
      <c r="G96" s="116"/>
      <c r="H96" s="117"/>
      <c r="I96" s="118"/>
      <c r="J96" s="152"/>
      <c r="K96" s="304"/>
      <c r="L96" s="386"/>
      <c r="M96" s="299"/>
      <c r="N96" s="40"/>
      <c r="O96" s="383"/>
      <c r="P96" s="300"/>
      <c r="Q96" s="120"/>
    </row>
    <row r="97" spans="1:17" ht="15.65" customHeight="1" x14ac:dyDescent="0.55000000000000004">
      <c r="A97" s="399"/>
      <c r="B97" s="375" t="s">
        <v>133</v>
      </c>
      <c r="C97" s="121" t="s">
        <v>54</v>
      </c>
      <c r="D97" s="223" t="s">
        <v>134</v>
      </c>
      <c r="E97" s="215">
        <v>4</v>
      </c>
      <c r="F97" s="264">
        <v>3</v>
      </c>
      <c r="G97" s="215"/>
      <c r="H97" s="108"/>
      <c r="I97" s="109"/>
      <c r="J97" s="195"/>
      <c r="K97" s="305"/>
      <c r="L97" s="386"/>
      <c r="M97" s="306"/>
      <c r="N97" s="48"/>
      <c r="O97" s="383"/>
      <c r="P97" s="300"/>
      <c r="Q97" s="120"/>
    </row>
    <row r="98" spans="1:17" ht="15.65" customHeight="1" x14ac:dyDescent="0.55000000000000004">
      <c r="A98" s="399"/>
      <c r="B98" s="377"/>
      <c r="C98" s="102" t="s">
        <v>54</v>
      </c>
      <c r="D98" s="233" t="s">
        <v>135</v>
      </c>
      <c r="E98" s="189">
        <v>4</v>
      </c>
      <c r="F98" s="307">
        <v>3</v>
      </c>
      <c r="G98" s="189"/>
      <c r="H98" s="239"/>
      <c r="I98" s="240"/>
      <c r="J98" s="201"/>
      <c r="K98" s="308"/>
      <c r="L98" s="386"/>
      <c r="M98" s="309"/>
      <c r="N98" s="40"/>
      <c r="O98" s="383"/>
      <c r="P98" s="300"/>
      <c r="Q98" s="120"/>
    </row>
    <row r="99" spans="1:17" ht="15.65" customHeight="1" x14ac:dyDescent="0.55000000000000004">
      <c r="A99" s="399"/>
      <c r="B99" s="375" t="s">
        <v>38</v>
      </c>
      <c r="C99" s="88" t="s">
        <v>51</v>
      </c>
      <c r="D99" s="89" t="s">
        <v>136</v>
      </c>
      <c r="E99" s="215">
        <v>4</v>
      </c>
      <c r="F99" s="264">
        <v>3</v>
      </c>
      <c r="G99" s="215"/>
      <c r="H99" s="167"/>
      <c r="I99" s="169"/>
      <c r="J99" s="170"/>
      <c r="K99" s="310"/>
      <c r="L99" s="386"/>
      <c r="M99" s="306"/>
      <c r="N99" s="48"/>
      <c r="O99" s="383"/>
      <c r="P99" s="300"/>
    </row>
    <row r="100" spans="1:17" ht="15.65" customHeight="1" x14ac:dyDescent="0.55000000000000004">
      <c r="A100" s="399"/>
      <c r="B100" s="376"/>
      <c r="C100" s="102" t="s">
        <v>51</v>
      </c>
      <c r="D100" s="226" t="s">
        <v>137</v>
      </c>
      <c r="E100" s="97">
        <v>4</v>
      </c>
      <c r="F100" s="182">
        <v>3</v>
      </c>
      <c r="G100" s="97"/>
      <c r="H100" s="183"/>
      <c r="I100" s="178"/>
      <c r="J100" s="179"/>
      <c r="K100" s="311"/>
      <c r="L100" s="386"/>
      <c r="M100" s="306"/>
      <c r="N100" s="33"/>
      <c r="O100" s="383"/>
      <c r="P100" s="300"/>
    </row>
    <row r="101" spans="1:17" ht="15.65" customHeight="1" x14ac:dyDescent="0.55000000000000004">
      <c r="A101" s="399"/>
      <c r="B101" s="376"/>
      <c r="C101" s="95" t="s">
        <v>51</v>
      </c>
      <c r="D101" s="206" t="s">
        <v>138</v>
      </c>
      <c r="E101" s="97">
        <v>4</v>
      </c>
      <c r="F101" s="182">
        <v>3</v>
      </c>
      <c r="G101" s="128"/>
      <c r="H101" s="197"/>
      <c r="I101" s="178"/>
      <c r="J101" s="179"/>
      <c r="K101" s="312"/>
      <c r="L101" s="386"/>
      <c r="M101" s="313"/>
      <c r="N101" s="33"/>
      <c r="O101" s="383"/>
      <c r="P101" s="300"/>
    </row>
    <row r="102" spans="1:17" ht="15.65" customHeight="1" x14ac:dyDescent="0.55000000000000004">
      <c r="A102" s="399"/>
      <c r="B102" s="377"/>
      <c r="C102" s="187" t="s">
        <v>51</v>
      </c>
      <c r="D102" s="289" t="s">
        <v>139</v>
      </c>
      <c r="E102" s="189">
        <v>4</v>
      </c>
      <c r="F102" s="307">
        <v>3</v>
      </c>
      <c r="G102" s="189"/>
      <c r="H102" s="190"/>
      <c r="I102" s="314"/>
      <c r="J102" s="315"/>
      <c r="K102" s="308"/>
      <c r="L102" s="386"/>
      <c r="M102" s="316"/>
      <c r="N102" s="40"/>
      <c r="O102" s="383"/>
      <c r="P102" s="300"/>
    </row>
    <row r="103" spans="1:17" ht="15.65" customHeight="1" x14ac:dyDescent="0.55000000000000004">
      <c r="A103" s="399"/>
      <c r="B103" s="375" t="s">
        <v>43</v>
      </c>
      <c r="C103" s="121" t="s">
        <v>51</v>
      </c>
      <c r="D103" s="223" t="s">
        <v>140</v>
      </c>
      <c r="E103" s="215">
        <v>4</v>
      </c>
      <c r="F103" s="264">
        <v>3</v>
      </c>
      <c r="G103" s="215"/>
      <c r="H103" s="167"/>
      <c r="I103" s="109"/>
      <c r="J103" s="317"/>
      <c r="K103" s="310"/>
      <c r="L103" s="386"/>
      <c r="M103" s="318"/>
      <c r="N103" s="48"/>
      <c r="O103" s="383"/>
      <c r="P103" s="300"/>
    </row>
    <row r="104" spans="1:17" ht="15.65" customHeight="1" x14ac:dyDescent="0.55000000000000004">
      <c r="A104" s="399"/>
      <c r="B104" s="377"/>
      <c r="C104" s="95" t="s">
        <v>51</v>
      </c>
      <c r="D104" s="206" t="s">
        <v>141</v>
      </c>
      <c r="E104" s="128">
        <v>4</v>
      </c>
      <c r="F104" s="319">
        <v>3</v>
      </c>
      <c r="G104" s="128"/>
      <c r="H104" s="197"/>
      <c r="I104" s="110"/>
      <c r="J104" s="320"/>
      <c r="K104" s="312"/>
      <c r="L104" s="386"/>
      <c r="M104" s="187"/>
      <c r="N104" s="40"/>
      <c r="O104" s="383"/>
      <c r="P104" s="300"/>
    </row>
    <row r="105" spans="1:17" ht="15.65" customHeight="1" x14ac:dyDescent="0.55000000000000004">
      <c r="A105" s="399"/>
      <c r="B105" s="321" t="s">
        <v>142</v>
      </c>
      <c r="C105" s="156" t="s">
        <v>54</v>
      </c>
      <c r="D105" s="322" t="s">
        <v>143</v>
      </c>
      <c r="E105" s="323">
        <v>3</v>
      </c>
      <c r="F105" s="324">
        <v>3</v>
      </c>
      <c r="G105" s="325"/>
      <c r="H105" s="326"/>
      <c r="I105" s="160"/>
      <c r="J105" s="327"/>
      <c r="K105" s="328"/>
      <c r="L105" s="386"/>
      <c r="M105" s="316"/>
      <c r="N105" s="67"/>
      <c r="O105" s="383"/>
      <c r="P105" s="300"/>
      <c r="Q105" s="120"/>
    </row>
    <row r="106" spans="1:17" ht="15" customHeight="1" x14ac:dyDescent="0.55000000000000004">
      <c r="A106" s="399"/>
      <c r="B106" s="155" t="s">
        <v>61</v>
      </c>
      <c r="C106" s="130" t="s">
        <v>22</v>
      </c>
      <c r="D106" s="165" t="s">
        <v>144</v>
      </c>
      <c r="E106" s="116">
        <v>3</v>
      </c>
      <c r="F106" s="224">
        <v>3</v>
      </c>
      <c r="G106" s="116"/>
      <c r="H106" s="329"/>
      <c r="I106" s="118"/>
      <c r="J106" s="274"/>
      <c r="K106" s="330"/>
      <c r="L106" s="379"/>
      <c r="M106" s="212"/>
      <c r="N106" s="221"/>
      <c r="O106" s="383"/>
      <c r="P106" s="218"/>
    </row>
    <row r="107" spans="1:17" ht="15.65" customHeight="1" x14ac:dyDescent="0.55000000000000004">
      <c r="A107" s="399"/>
      <c r="B107" s="375" t="s">
        <v>57</v>
      </c>
      <c r="C107" s="88" t="s">
        <v>51</v>
      </c>
      <c r="D107" s="89" t="s">
        <v>145</v>
      </c>
      <c r="E107" s="90">
        <v>3</v>
      </c>
      <c r="F107" s="91">
        <v>2</v>
      </c>
      <c r="G107" s="286"/>
      <c r="H107" s="234"/>
      <c r="I107" s="278"/>
      <c r="J107" s="196"/>
      <c r="K107" s="91"/>
      <c r="L107" s="407" t="s">
        <v>121</v>
      </c>
      <c r="M107" s="132"/>
      <c r="N107" s="48"/>
      <c r="O107" s="383"/>
      <c r="P107" s="300"/>
    </row>
    <row r="108" spans="1:17" ht="15.65" customHeight="1" x14ac:dyDescent="0.55000000000000004">
      <c r="A108" s="399"/>
      <c r="B108" s="377"/>
      <c r="C108" s="187" t="s">
        <v>54</v>
      </c>
      <c r="D108" s="289" t="s">
        <v>146</v>
      </c>
      <c r="E108" s="128">
        <v>3</v>
      </c>
      <c r="F108" s="127">
        <v>2</v>
      </c>
      <c r="G108" s="128"/>
      <c r="H108" s="111"/>
      <c r="I108" s="240"/>
      <c r="J108" s="129"/>
      <c r="K108" s="116"/>
      <c r="L108" s="379"/>
      <c r="M108" s="140"/>
      <c r="N108" s="40"/>
      <c r="O108" s="383"/>
      <c r="P108" s="218"/>
    </row>
    <row r="109" spans="1:17" ht="15.65" customHeight="1" x14ac:dyDescent="0.55000000000000004">
      <c r="A109" s="399"/>
      <c r="B109" s="155" t="s">
        <v>80</v>
      </c>
      <c r="C109" s="331" t="s">
        <v>51</v>
      </c>
      <c r="D109" s="332" t="s">
        <v>147</v>
      </c>
      <c r="E109" s="90">
        <v>4</v>
      </c>
      <c r="F109" s="91">
        <v>3</v>
      </c>
      <c r="G109" s="90"/>
      <c r="H109" s="92"/>
      <c r="I109" s="90"/>
      <c r="J109" s="92"/>
      <c r="K109" s="333"/>
      <c r="L109" s="408" t="s">
        <v>82</v>
      </c>
      <c r="M109" s="132"/>
      <c r="N109" s="221"/>
      <c r="O109" s="383"/>
      <c r="P109" s="300"/>
    </row>
    <row r="110" spans="1:17" ht="15.65" customHeight="1" x14ac:dyDescent="0.55000000000000004">
      <c r="A110" s="399"/>
      <c r="B110" s="436" t="s">
        <v>83</v>
      </c>
      <c r="C110" s="88" t="s">
        <v>54</v>
      </c>
      <c r="D110" s="301" t="s">
        <v>148</v>
      </c>
      <c r="E110" s="90">
        <v>4</v>
      </c>
      <c r="F110" s="91">
        <v>3</v>
      </c>
      <c r="G110" s="90"/>
      <c r="H110" s="92"/>
      <c r="I110" s="90"/>
      <c r="J110" s="92"/>
      <c r="K110" s="305"/>
      <c r="L110" s="386"/>
      <c r="M110" s="132"/>
      <c r="N110" s="48"/>
      <c r="O110" s="383"/>
      <c r="P110" s="300"/>
    </row>
    <row r="111" spans="1:17" ht="15.65" customHeight="1" thickBot="1" x14ac:dyDescent="0.6">
      <c r="A111" s="399"/>
      <c r="B111" s="413"/>
      <c r="C111" s="334" t="s">
        <v>54</v>
      </c>
      <c r="D111" s="141" t="s">
        <v>149</v>
      </c>
      <c r="E111" s="246">
        <v>4</v>
      </c>
      <c r="F111" s="245">
        <v>3</v>
      </c>
      <c r="G111" s="246"/>
      <c r="H111" s="335"/>
      <c r="I111" s="246"/>
      <c r="J111" s="335"/>
      <c r="K111" s="336"/>
      <c r="L111" s="390"/>
      <c r="M111" s="337"/>
      <c r="N111" s="250"/>
      <c r="O111" s="384"/>
      <c r="P111" s="338"/>
    </row>
    <row r="112" spans="1:17" ht="18" hidden="1" customHeight="1" thickBot="1" x14ac:dyDescent="0.6">
      <c r="A112" s="339"/>
      <c r="B112" s="340"/>
      <c r="C112" s="341"/>
      <c r="D112" s="342"/>
      <c r="E112" s="343" t="s">
        <v>156</v>
      </c>
      <c r="F112" s="344"/>
      <c r="G112" s="345"/>
      <c r="H112" s="346"/>
      <c r="I112" s="347"/>
      <c r="J112" s="348"/>
      <c r="K112" s="340"/>
      <c r="L112" s="348"/>
      <c r="M112" s="349"/>
      <c r="N112" s="350"/>
      <c r="O112" s="351"/>
      <c r="P112" s="352"/>
    </row>
    <row r="113" spans="1:19" ht="17.25" customHeight="1" x14ac:dyDescent="0.55000000000000004">
      <c r="A113" s="392" t="s">
        <v>150</v>
      </c>
      <c r="B113" s="393"/>
      <c r="C113" s="393"/>
      <c r="D113" s="393"/>
      <c r="E113" s="394"/>
      <c r="F113" s="353">
        <f>SUM(G113:L113)</f>
        <v>174</v>
      </c>
      <c r="G113" s="354">
        <f>SUM(G7:G111)</f>
        <v>29</v>
      </c>
      <c r="H113" s="355">
        <f>SUM(H7:H112)</f>
        <v>29</v>
      </c>
      <c r="I113" s="354">
        <v>29</v>
      </c>
      <c r="J113" s="355">
        <v>29</v>
      </c>
      <c r="K113" s="356">
        <v>29</v>
      </c>
      <c r="L113" s="357">
        <v>29</v>
      </c>
      <c r="M113" s="353"/>
      <c r="N113" s="358"/>
      <c r="O113" s="359">
        <f>SUM(G113:L113)</f>
        <v>174</v>
      </c>
      <c r="P113" s="360">
        <f>SUM(P7:P111)</f>
        <v>84</v>
      </c>
    </row>
    <row r="114" spans="1:19" x14ac:dyDescent="0.55000000000000004">
      <c r="A114" s="430" t="s">
        <v>151</v>
      </c>
      <c r="B114" s="431"/>
      <c r="C114" s="431"/>
      <c r="D114" s="431"/>
      <c r="E114" s="419"/>
      <c r="F114" s="361">
        <v>18</v>
      </c>
      <c r="G114" s="347">
        <v>3</v>
      </c>
      <c r="H114" s="348">
        <v>3</v>
      </c>
      <c r="I114" s="362">
        <v>3</v>
      </c>
      <c r="J114" s="348">
        <v>3</v>
      </c>
      <c r="K114" s="362">
        <v>3</v>
      </c>
      <c r="L114" s="363">
        <v>3</v>
      </c>
      <c r="M114" s="364"/>
      <c r="N114" s="347"/>
      <c r="O114" s="361">
        <f>SUM(G114:L114)</f>
        <v>18</v>
      </c>
      <c r="P114" s="365">
        <v>18</v>
      </c>
    </row>
    <row r="115" spans="1:19" ht="15" customHeight="1" x14ac:dyDescent="0.55000000000000004">
      <c r="A115" s="430" t="s">
        <v>152</v>
      </c>
      <c r="B115" s="431"/>
      <c r="C115" s="431"/>
      <c r="D115" s="431"/>
      <c r="E115" s="431"/>
      <c r="F115" s="419"/>
      <c r="G115" s="366">
        <f t="shared" ref="G115:L115" si="0">SUM(G113:G114)</f>
        <v>32</v>
      </c>
      <c r="H115" s="367">
        <f t="shared" si="0"/>
        <v>32</v>
      </c>
      <c r="I115" s="366">
        <f t="shared" si="0"/>
        <v>32</v>
      </c>
      <c r="J115" s="367">
        <f t="shared" si="0"/>
        <v>32</v>
      </c>
      <c r="K115" s="366">
        <f t="shared" si="0"/>
        <v>32</v>
      </c>
      <c r="L115" s="367">
        <f t="shared" si="0"/>
        <v>32</v>
      </c>
      <c r="M115" s="361"/>
      <c r="N115" s="368"/>
      <c r="O115" s="418">
        <f>SUM(G115:M115)</f>
        <v>192</v>
      </c>
      <c r="P115" s="419"/>
    </row>
    <row r="116" spans="1:19" ht="15" customHeight="1" x14ac:dyDescent="0.55000000000000004">
      <c r="A116" s="430" t="s">
        <v>153</v>
      </c>
      <c r="B116" s="431"/>
      <c r="C116" s="431"/>
      <c r="D116" s="431"/>
      <c r="E116" s="431"/>
      <c r="F116" s="419"/>
      <c r="G116" s="368">
        <v>9</v>
      </c>
      <c r="H116" s="367">
        <v>9</v>
      </c>
      <c r="I116" s="366">
        <v>9</v>
      </c>
      <c r="J116" s="367">
        <v>9</v>
      </c>
      <c r="K116" s="366">
        <v>11</v>
      </c>
      <c r="L116" s="369">
        <v>11</v>
      </c>
      <c r="M116" s="361"/>
      <c r="N116" s="368"/>
      <c r="O116" s="438"/>
      <c r="P116" s="419"/>
    </row>
    <row r="117" spans="1:19" ht="17.25" customHeight="1" thickBot="1" x14ac:dyDescent="0.6">
      <c r="A117" s="432" t="s">
        <v>154</v>
      </c>
      <c r="B117" s="433"/>
      <c r="C117" s="433"/>
      <c r="D117" s="433"/>
      <c r="E117" s="433"/>
      <c r="F117" s="403"/>
      <c r="G117" s="402">
        <f>SUM(G115:H115)</f>
        <v>64</v>
      </c>
      <c r="H117" s="403"/>
      <c r="I117" s="402">
        <f>SUM(I115:J115)</f>
        <v>64</v>
      </c>
      <c r="J117" s="403"/>
      <c r="K117" s="402">
        <f>SUM(K115:L115)</f>
        <v>64</v>
      </c>
      <c r="L117" s="403"/>
      <c r="M117" s="370"/>
      <c r="N117" s="371"/>
      <c r="O117" s="402">
        <f>SUM(G117:M117)</f>
        <v>192</v>
      </c>
      <c r="P117" s="403"/>
    </row>
    <row r="118" spans="1:19" x14ac:dyDescent="0.55000000000000004">
      <c r="A118" s="423" t="s">
        <v>155</v>
      </c>
      <c r="B118" s="424"/>
      <c r="C118" s="424"/>
      <c r="D118" s="424"/>
      <c r="E118" s="424"/>
      <c r="F118" s="424"/>
      <c r="G118" s="424"/>
      <c r="H118" s="424"/>
      <c r="I118" s="424"/>
      <c r="J118" s="424"/>
      <c r="K118" s="424"/>
      <c r="L118" s="424"/>
      <c r="M118" s="424"/>
      <c r="N118" s="424"/>
      <c r="O118" s="424"/>
      <c r="P118" s="425"/>
    </row>
    <row r="119" spans="1:19" x14ac:dyDescent="0.55000000000000004">
      <c r="A119" s="426"/>
      <c r="B119" s="415"/>
      <c r="C119" s="415"/>
      <c r="D119" s="415"/>
      <c r="E119" s="415"/>
      <c r="F119" s="415"/>
      <c r="G119" s="415"/>
      <c r="H119" s="415"/>
      <c r="I119" s="415"/>
      <c r="J119" s="415"/>
      <c r="K119" s="415"/>
      <c r="L119" s="415"/>
      <c r="M119" s="415"/>
      <c r="N119" s="415"/>
      <c r="O119" s="415"/>
      <c r="P119" s="427"/>
    </row>
    <row r="120" spans="1:19" x14ac:dyDescent="0.55000000000000004">
      <c r="A120" s="426"/>
      <c r="B120" s="415"/>
      <c r="C120" s="415"/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27"/>
    </row>
    <row r="121" spans="1:19" x14ac:dyDescent="0.55000000000000004">
      <c r="A121" s="426"/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  <c r="O121" s="415"/>
      <c r="P121" s="427"/>
    </row>
    <row r="122" spans="1:19" x14ac:dyDescent="0.55000000000000004">
      <c r="A122" s="426"/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  <c r="O122" s="415"/>
      <c r="P122" s="427"/>
    </row>
    <row r="123" spans="1:19" x14ac:dyDescent="0.55000000000000004">
      <c r="A123" s="426"/>
      <c r="B123" s="415"/>
      <c r="C123" s="415"/>
      <c r="D123" s="415"/>
      <c r="E123" s="415"/>
      <c r="F123" s="415"/>
      <c r="G123" s="415"/>
      <c r="H123" s="415"/>
      <c r="I123" s="415"/>
      <c r="J123" s="415"/>
      <c r="K123" s="415"/>
      <c r="L123" s="415"/>
      <c r="M123" s="415"/>
      <c r="N123" s="415"/>
      <c r="O123" s="415"/>
      <c r="P123" s="427"/>
    </row>
    <row r="124" spans="1:19" x14ac:dyDescent="0.55000000000000004">
      <c r="A124" s="426"/>
      <c r="B124" s="415"/>
      <c r="C124" s="415"/>
      <c r="D124" s="415"/>
      <c r="E124" s="415"/>
      <c r="F124" s="415"/>
      <c r="G124" s="415"/>
      <c r="H124" s="415"/>
      <c r="I124" s="415"/>
      <c r="J124" s="415"/>
      <c r="K124" s="415"/>
      <c r="L124" s="415"/>
      <c r="M124" s="415"/>
      <c r="N124" s="415"/>
      <c r="O124" s="415"/>
      <c r="P124" s="427"/>
      <c r="S124" s="372"/>
    </row>
    <row r="125" spans="1:19" x14ac:dyDescent="0.55000000000000004">
      <c r="A125" s="426"/>
      <c r="B125" s="415"/>
      <c r="C125" s="415"/>
      <c r="D125" s="415"/>
      <c r="E125" s="415"/>
      <c r="F125" s="415"/>
      <c r="G125" s="415"/>
      <c r="H125" s="415"/>
      <c r="I125" s="415"/>
      <c r="J125" s="415"/>
      <c r="K125" s="415"/>
      <c r="L125" s="415"/>
      <c r="M125" s="415"/>
      <c r="N125" s="415"/>
      <c r="O125" s="415"/>
      <c r="P125" s="427"/>
    </row>
    <row r="126" spans="1:19" ht="18" customHeight="1" thickBot="1" x14ac:dyDescent="0.6">
      <c r="A126" s="428"/>
      <c r="B126" s="401"/>
      <c r="C126" s="401"/>
      <c r="D126" s="401"/>
      <c r="E126" s="401"/>
      <c r="F126" s="401"/>
      <c r="G126" s="401"/>
      <c r="H126" s="401"/>
      <c r="I126" s="401"/>
      <c r="J126" s="401"/>
      <c r="K126" s="401"/>
      <c r="L126" s="401"/>
      <c r="M126" s="401"/>
      <c r="N126" s="401"/>
      <c r="O126" s="401"/>
      <c r="P126" s="429"/>
    </row>
  </sheetData>
  <mergeCells count="96">
    <mergeCell ref="O116:P116"/>
    <mergeCell ref="B59:B64"/>
    <mergeCell ref="B38:B39"/>
    <mergeCell ref="A40:A73"/>
    <mergeCell ref="P12:P16"/>
    <mergeCell ref="B88:B89"/>
    <mergeCell ref="O93:O111"/>
    <mergeCell ref="B65:B68"/>
    <mergeCell ref="I40:I52"/>
    <mergeCell ref="B51:B52"/>
    <mergeCell ref="B17:B21"/>
    <mergeCell ref="P17:P21"/>
    <mergeCell ref="O117:P117"/>
    <mergeCell ref="A118:P126"/>
    <mergeCell ref="A116:F116"/>
    <mergeCell ref="C3:C5"/>
    <mergeCell ref="B107:B108"/>
    <mergeCell ref="A115:F115"/>
    <mergeCell ref="B36:B37"/>
    <mergeCell ref="A117:F117"/>
    <mergeCell ref="K4:K5"/>
    <mergeCell ref="N3:N5"/>
    <mergeCell ref="B99:B102"/>
    <mergeCell ref="F3:F5"/>
    <mergeCell ref="O38:O39"/>
    <mergeCell ref="B110:B111"/>
    <mergeCell ref="K90:K92"/>
    <mergeCell ref="L107:L108"/>
    <mergeCell ref="O115:P115"/>
    <mergeCell ref="K3:L3"/>
    <mergeCell ref="P7:P11"/>
    <mergeCell ref="P38:P39"/>
    <mergeCell ref="B47:B50"/>
    <mergeCell ref="P26:P29"/>
    <mergeCell ref="O56:O73"/>
    <mergeCell ref="B72:B73"/>
    <mergeCell ref="B22:B25"/>
    <mergeCell ref="A114:E114"/>
    <mergeCell ref="A7:A39"/>
    <mergeCell ref="L109:L111"/>
    <mergeCell ref="O24:O25"/>
    <mergeCell ref="B7:B11"/>
    <mergeCell ref="G3:H3"/>
    <mergeCell ref="I3:J3"/>
    <mergeCell ref="A1:P1"/>
    <mergeCell ref="B12:B16"/>
    <mergeCell ref="B95:B96"/>
    <mergeCell ref="L93:L106"/>
    <mergeCell ref="B30:B35"/>
    <mergeCell ref="B77:B81"/>
    <mergeCell ref="H4:H5"/>
    <mergeCell ref="A3:A5"/>
    <mergeCell ref="P30:P35"/>
    <mergeCell ref="O3:O5"/>
    <mergeCell ref="G4:G5"/>
    <mergeCell ref="I4:I5"/>
    <mergeCell ref="D3:D5"/>
    <mergeCell ref="P3:P5"/>
    <mergeCell ref="O36:O37"/>
    <mergeCell ref="J71:J73"/>
    <mergeCell ref="K2:P2"/>
    <mergeCell ref="B43:B46"/>
    <mergeCell ref="O17:O21"/>
    <mergeCell ref="O30:O35"/>
    <mergeCell ref="B69:B70"/>
    <mergeCell ref="P36:P37"/>
    <mergeCell ref="B3:B5"/>
    <mergeCell ref="O22:O23"/>
    <mergeCell ref="A2:D2"/>
    <mergeCell ref="B97:B98"/>
    <mergeCell ref="B93:B94"/>
    <mergeCell ref="M3:M5"/>
    <mergeCell ref="G117:H117"/>
    <mergeCell ref="K74:K87"/>
    <mergeCell ref="I117:J117"/>
    <mergeCell ref="K117:L117"/>
    <mergeCell ref="A113:E113"/>
    <mergeCell ref="O74:O92"/>
    <mergeCell ref="P24:P25"/>
    <mergeCell ref="B54:B55"/>
    <mergeCell ref="J56:J70"/>
    <mergeCell ref="I53:I55"/>
    <mergeCell ref="B26:B29"/>
    <mergeCell ref="A74:A111"/>
    <mergeCell ref="B91:B92"/>
    <mergeCell ref="J4:J5"/>
    <mergeCell ref="L4:L5"/>
    <mergeCell ref="E3:E5"/>
    <mergeCell ref="O7:O11"/>
    <mergeCell ref="B103:B104"/>
    <mergeCell ref="O12:O16"/>
    <mergeCell ref="B82:B86"/>
    <mergeCell ref="K88:K89"/>
    <mergeCell ref="P22:P23"/>
    <mergeCell ref="O40:O55"/>
    <mergeCell ref="O26:O29"/>
  </mergeCells>
  <phoneticPr fontId="2" type="noConversion"/>
  <conditionalFormatting sqref="E7:E11">
    <cfRule type="expression" dxfId="21" priority="22">
      <formula>ISTEXT(E7)</formula>
    </cfRule>
  </conditionalFormatting>
  <conditionalFormatting sqref="E13:E17">
    <cfRule type="expression" dxfId="20" priority="21">
      <formula>ISTEXT(E13)</formula>
    </cfRule>
  </conditionalFormatting>
  <conditionalFormatting sqref="E19:E23">
    <cfRule type="expression" dxfId="19" priority="5">
      <formula>ISTEXT(E19)</formula>
    </cfRule>
  </conditionalFormatting>
  <conditionalFormatting sqref="E25">
    <cfRule type="expression" dxfId="18" priority="20">
      <formula>ISTEXT(E25)</formula>
    </cfRule>
  </conditionalFormatting>
  <conditionalFormatting sqref="E27:E29">
    <cfRule type="expression" dxfId="17" priority="19">
      <formula>ISTEXT(E27)</formula>
    </cfRule>
  </conditionalFormatting>
  <conditionalFormatting sqref="E31:E36">
    <cfRule type="expression" dxfId="16" priority="4">
      <formula>ISTEXT(E31)</formula>
    </cfRule>
  </conditionalFormatting>
  <conditionalFormatting sqref="E38:E43">
    <cfRule type="expression" dxfId="15" priority="3">
      <formula>ISTEXT(E38)</formula>
    </cfRule>
  </conditionalFormatting>
  <conditionalFormatting sqref="E45:E49">
    <cfRule type="expression" dxfId="14" priority="15">
      <formula>ISTEXT(E45)</formula>
    </cfRule>
  </conditionalFormatting>
  <conditionalFormatting sqref="E51:E53">
    <cfRule type="expression" dxfId="13" priority="18">
      <formula>ISTEXT(E51)</formula>
    </cfRule>
  </conditionalFormatting>
  <conditionalFormatting sqref="E55:E57">
    <cfRule type="expression" dxfId="12" priority="17">
      <formula>ISTEXT(E55)</formula>
    </cfRule>
  </conditionalFormatting>
  <conditionalFormatting sqref="E59:E61">
    <cfRule type="expression" dxfId="11" priority="16">
      <formula>ISTEXT(E59)</formula>
    </cfRule>
  </conditionalFormatting>
  <conditionalFormatting sqref="E63:E66">
    <cfRule type="expression" dxfId="10" priority="14">
      <formula>ISTEXT(E63)</formula>
    </cfRule>
  </conditionalFormatting>
  <conditionalFormatting sqref="E68:E71">
    <cfRule type="expression" dxfId="9" priority="13">
      <formula>ISTEXT(E68)</formula>
    </cfRule>
  </conditionalFormatting>
  <conditionalFormatting sqref="E73:E76">
    <cfRule type="expression" dxfId="8" priority="12">
      <formula>ISTEXT(E73)</formula>
    </cfRule>
  </conditionalFormatting>
  <conditionalFormatting sqref="E78:E81">
    <cfRule type="expression" dxfId="7" priority="1">
      <formula>ISTEXT(E78)</formula>
    </cfRule>
  </conditionalFormatting>
  <conditionalFormatting sqref="E83:E87">
    <cfRule type="expression" dxfId="6" priority="10">
      <formula>ISTEXT(E83)</formula>
    </cfRule>
  </conditionalFormatting>
  <conditionalFormatting sqref="E89:E92">
    <cfRule type="expression" dxfId="5" priority="9">
      <formula>ISTEXT(E89)</formula>
    </cfRule>
  </conditionalFormatting>
  <conditionalFormatting sqref="E94:E97">
    <cfRule type="expression" dxfId="4" priority="2">
      <formula>ISTEXT(E94)</formula>
    </cfRule>
  </conditionalFormatting>
  <conditionalFormatting sqref="E99:E101">
    <cfRule type="expression" dxfId="3" priority="8">
      <formula>ISTEXT(E99)</formula>
    </cfRule>
  </conditionalFormatting>
  <conditionalFormatting sqref="E103:E106">
    <cfRule type="expression" dxfId="2" priority="7">
      <formula>ISTEXT(E103)</formula>
    </cfRule>
  </conditionalFormatting>
  <conditionalFormatting sqref="E108:E110">
    <cfRule type="expression" dxfId="1" priority="6">
      <formula>ISTEXT(E108)</formula>
    </cfRule>
  </conditionalFormatting>
  <conditionalFormatting sqref="F67:F70">
    <cfRule type="expression" dxfId="0" priority="11">
      <formula>ISTEXT(F67)</formula>
    </cfRule>
  </conditionalFormatting>
  <dataValidations count="6">
    <dataValidation type="list" allowBlank="1" showInputMessage="1" showErrorMessage="1" sqref="B112" xr:uid="{00000000-0002-0000-0000-000000000000}">
      <formula1>교과군</formula1>
    </dataValidation>
    <dataValidation type="list" allowBlank="1" showInputMessage="1" showErrorMessage="1" sqref="C112" xr:uid="{00000000-0002-0000-0000-000001000000}">
      <formula1>과목유형2</formula1>
    </dataValidation>
    <dataValidation type="list" allowBlank="1" showInputMessage="1" sqref="N7:N111" xr:uid="{00000000-0002-0000-0000-000002000000}">
      <formula1>과목개설유형</formula1>
    </dataValidation>
    <dataValidation type="list" allowBlank="1" showInputMessage="1" sqref="D7:D111" xr:uid="{00000000-0002-0000-0000-000003000000}">
      <formula1>INDIRECT(C7)</formula1>
    </dataValidation>
    <dataValidation type="list" allowBlank="1" showInputMessage="1" sqref="M7:M112 N112" xr:uid="{00000000-0002-0000-0000-000004000000}">
      <formula1>비고</formula1>
    </dataValidation>
    <dataValidation type="list" allowBlank="1" showInputMessage="1" showErrorMessage="1" sqref="C7:C111" xr:uid="{00000000-0002-0000-0000-000005000000}">
      <formula1>과목유형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2026입학생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김연희</cp:lastModifiedBy>
  <dcterms:created xsi:type="dcterms:W3CDTF">2026-03-30T00:41:48Z</dcterms:created>
  <dcterms:modified xsi:type="dcterms:W3CDTF">2026-08-12T16:01:20Z</dcterms:modified>
</cp:coreProperties>
</file>