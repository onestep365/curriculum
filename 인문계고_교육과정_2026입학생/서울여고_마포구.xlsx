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GoogleDrive\2026신서고\7. 정보교과\교육과정\정보공시_서울전체\"/>
    </mc:Choice>
  </mc:AlternateContent>
  <xr:revisionPtr revIDLastSave="0" documentId="8_{0DA96D03-6809-4019-9F8F-713A2309CA6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2026입학생" sheetId="1" r:id="rId1"/>
  </sheets>
  <externalReferences>
    <externalReference r:id="rId2"/>
  </externalReferences>
  <definedNames>
    <definedName name="_xlnm.Print_Area" localSheetId="0">'2026입학생'!$A$1:$P$130</definedName>
    <definedName name="_xlnm.Print_Titles" localSheetId="0">'2026입학생'!$3:$5</definedName>
    <definedName name="공통">#REF!</definedName>
    <definedName name="과목개설유형" localSheetId="0">#REF!</definedName>
    <definedName name="과목개설유형">#REF!</definedName>
    <definedName name="과목유형" localSheetId="0">#REF!</definedName>
    <definedName name="과목유형">#REF!</definedName>
    <definedName name="과목유형2" localSheetId="0">#REF!</definedName>
    <definedName name="과목유형2">#REF!</definedName>
    <definedName name="교과군" localSheetId="0">#REF!</definedName>
    <definedName name="교과군">#REF!</definedName>
    <definedName name="기본학점" localSheetId="0">[1]데이터베이스!$D$13:$E$168</definedName>
    <definedName name="기본학점">#REF!</definedName>
    <definedName name="비고" localSheetId="0">#REF!</definedName>
    <definedName name="비고">#REF!</definedName>
    <definedName name="수식값반영1">OFFSET(#REF!,0,0,COUNTA(#REF!)-2,3)</definedName>
    <definedName name="수식값반영2">OFFSET(#REF!,0,0,COUNTA(#REF!)-2,1)</definedName>
    <definedName name="수식값반영3">OFFSET(#REF!,0,0,COUNTA(#REF!)-2,2)</definedName>
    <definedName name="수식값반영4">OFFSET(#REF!,0,0,COUNTA(#REF!)-2,1)</definedName>
    <definedName name="융합">#REF!</definedName>
    <definedName name="일반">#REF!</definedName>
    <definedName name="진로">#REF!</definedName>
    <definedName name="코드수식">#REF!</definedName>
    <definedName name="코드수식값반영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9" i="1" l="1"/>
  <c r="K119" i="1"/>
  <c r="K121" i="1" s="1"/>
  <c r="J119" i="1"/>
  <c r="I119" i="1"/>
  <c r="I121" i="1" s="1"/>
  <c r="H119" i="1"/>
  <c r="O118" i="1"/>
  <c r="P117" i="1"/>
  <c r="H117" i="1"/>
  <c r="G117" i="1"/>
  <c r="G119" i="1" s="1"/>
  <c r="E116" i="1"/>
  <c r="E115" i="1"/>
  <c r="E114" i="1"/>
  <c r="E113" i="1"/>
  <c r="E112" i="1"/>
  <c r="E111" i="1"/>
  <c r="E108" i="1"/>
  <c r="E107" i="1"/>
  <c r="E106" i="1"/>
  <c r="E105" i="1"/>
  <c r="E104" i="1"/>
  <c r="E103" i="1"/>
  <c r="E102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O40" i="1"/>
  <c r="E40" i="1"/>
  <c r="E39" i="1"/>
  <c r="O38" i="1"/>
  <c r="E38" i="1"/>
  <c r="E37" i="1"/>
  <c r="O36" i="1"/>
  <c r="E36" i="1"/>
  <c r="E34" i="1"/>
  <c r="E33" i="1"/>
  <c r="E32" i="1"/>
  <c r="E31" i="1"/>
  <c r="O30" i="1"/>
  <c r="E30" i="1"/>
  <c r="E29" i="1"/>
  <c r="E28" i="1"/>
  <c r="E27" i="1"/>
  <c r="O26" i="1"/>
  <c r="E26" i="1"/>
  <c r="E25" i="1"/>
  <c r="O24" i="1"/>
  <c r="E24" i="1"/>
  <c r="E23" i="1"/>
  <c r="O22" i="1"/>
  <c r="E22" i="1"/>
  <c r="E21" i="1"/>
  <c r="E20" i="1"/>
  <c r="E19" i="1"/>
  <c r="E18" i="1"/>
  <c r="O17" i="1"/>
  <c r="E17" i="1"/>
  <c r="E16" i="1"/>
  <c r="E15" i="1"/>
  <c r="E14" i="1"/>
  <c r="E13" i="1"/>
  <c r="O12" i="1"/>
  <c r="E12" i="1"/>
  <c r="E11" i="1"/>
  <c r="E10" i="1"/>
  <c r="E9" i="1"/>
  <c r="E8" i="1"/>
  <c r="O7" i="1"/>
  <c r="E7" i="1"/>
  <c r="G121" i="1" l="1"/>
  <c r="O121" i="1" s="1"/>
  <c r="O119" i="1"/>
  <c r="O1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000-000001000000}">
      <text>
        <r>
          <rPr>
            <sz val="11"/>
            <rFont val="돋움"/>
            <family val="3"/>
            <charset val="129"/>
          </rPr>
          <t xml:space="preserve">Administrator:
수식이 입력되어 있음. 지워진 경우 아래 수식을 활용
=IFERROR(VLOOKUP(D7, 기본학점, 2, FALSE), "")
</t>
        </r>
      </text>
    </comment>
    <comment ref="I42" authorId="0" shapeId="0" xr:uid="{00000000-0006-0000-0000-000002000000}">
      <text>
        <r>
          <rPr>
            <sz val="11"/>
            <rFont val="돋움"/>
            <family val="3"/>
            <charset val="129"/>
          </rPr>
          <t>Administrator:
☆
(택○) 
형식으로 입력
(예시)
15
(택5)</t>
        </r>
      </text>
    </comment>
  </commentList>
</comments>
</file>

<file path=xl/sharedStrings.xml><?xml version="1.0" encoding="utf-8"?>
<sst xmlns="http://schemas.openxmlformats.org/spreadsheetml/2006/main" count="309" uniqueCount="158">
  <si>
    <t>서울여자고등학교 교육과정 학점 배당표</t>
  </si>
  <si>
    <t>2026학년도 입학(2022 개정 교육과정 적용)</t>
  </si>
  <si>
    <t>구분</t>
  </si>
  <si>
    <t>교과(군)</t>
  </si>
  <si>
    <t>과목 
유형</t>
  </si>
  <si>
    <t>과목</t>
  </si>
  <si>
    <t>기본
학점</t>
  </si>
  <si>
    <t>운영
학점</t>
  </si>
  <si>
    <t>1학년</t>
  </si>
  <si>
    <t>2학년</t>
  </si>
  <si>
    <t>3학년</t>
  </si>
  <si>
    <t>비고</t>
  </si>
  <si>
    <t>과목 개설 유형</t>
  </si>
  <si>
    <t>이수
학점</t>
  </si>
  <si>
    <t>필수
이수
학점</t>
  </si>
  <si>
    <t>1학기</t>
  </si>
  <si>
    <t>2학기</t>
  </si>
  <si>
    <t>학교지정</t>
  </si>
  <si>
    <t>국 어</t>
  </si>
  <si>
    <t>공통</t>
  </si>
  <si>
    <t>공통국어1</t>
  </si>
  <si>
    <t>공통국어2</t>
  </si>
  <si>
    <t>일반</t>
  </si>
  <si>
    <t xml:space="preserve">화법과 언어 </t>
  </si>
  <si>
    <t>문학</t>
  </si>
  <si>
    <t xml:space="preserve">독서와 작문 </t>
  </si>
  <si>
    <t>수 학</t>
  </si>
  <si>
    <t>공통수학1</t>
  </si>
  <si>
    <t>공통수학2</t>
  </si>
  <si>
    <t>대수</t>
  </si>
  <si>
    <t>미적분Ⅰ</t>
  </si>
  <si>
    <t>확률과 통계</t>
  </si>
  <si>
    <t>영 어</t>
  </si>
  <si>
    <t>공통영어1</t>
  </si>
  <si>
    <t>공통영어2</t>
  </si>
  <si>
    <t>영어Ⅰ</t>
  </si>
  <si>
    <t>영어Ⅱ</t>
  </si>
  <si>
    <t>영어 독해와 작문</t>
  </si>
  <si>
    <t>사 회
(역사/도덕 포함)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</si>
  <si>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</si>
  <si>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</si>
  <si>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</si>
  <si>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</si>
  <si>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</si>
  <si>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</si>
  <si>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</si>
  <si>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</si>
  <si>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</si>
  <si>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</si>
  <si>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</si>
  <si>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</si>
  <si>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>융합</t>
  </si>
  <si>
    <t xml:space="preserve">스포츠 생활1 </t>
  </si>
  <si>
    <t>진로</t>
  </si>
  <si>
    <t>스포츠 과학</t>
  </si>
  <si>
    <t>스포츠 문화</t>
  </si>
  <si>
    <t xml:space="preserve">뉴스포츠 전략 및 실기 </t>
  </si>
  <si>
    <t>타 시·도 교육감 승인 과목</t>
  </si>
  <si>
    <t>예 술</t>
  </si>
  <si>
    <t>음악</t>
  </si>
  <si>
    <t>[2]</t>
  </si>
  <si>
    <t>교차이수(음악/미술)</t>
  </si>
  <si>
    <t>미술</t>
  </si>
  <si>
    <t>기술∙가정/정보</t>
  </si>
  <si>
    <t>기술∙가정</t>
  </si>
  <si>
    <t>[3]</t>
  </si>
  <si>
    <t>교차이수(기술∙가정/정보)</t>
  </si>
  <si>
    <t>정보</t>
  </si>
  <si>
    <t>교 양</t>
  </si>
  <si>
    <t xml:space="preserve">교육의 이해 </t>
  </si>
  <si>
    <t xml:space="preserve">진로와 직업 </t>
  </si>
  <si>
    <t xml:space="preserve">2
학년선택 </t>
  </si>
  <si>
    <t xml:space="preserve">주제 탐구 독서 </t>
  </si>
  <si>
    <t>15
(택5)</t>
  </si>
  <si>
    <t>인공지능 수학</t>
  </si>
  <si>
    <t>영미 문학 읽기</t>
  </si>
  <si>
    <t>동아시아 역사 기행</t>
  </si>
  <si>
    <t>현대사회와 윤리</t>
  </si>
  <si>
    <t xml:space="preserve">법과 사회 </t>
  </si>
  <si>
    <t xml:space="preserve">도시의 미래 탐구 </t>
  </si>
  <si>
    <t>물리학</t>
  </si>
  <si>
    <t>화학</t>
  </si>
  <si>
    <t xml:space="preserve">생명과학 </t>
  </si>
  <si>
    <t>행성우주과학</t>
  </si>
  <si>
    <t>음악 연주와 창작</t>
  </si>
  <si>
    <t>미술 감상과 비평</t>
  </si>
  <si>
    <t xml:space="preserve">인공지능 기초 </t>
  </si>
  <si>
    <t>제2외국어/한문</t>
  </si>
  <si>
    <t xml:space="preserve">일본어 </t>
  </si>
  <si>
    <t>중국어</t>
  </si>
  <si>
    <t>언어생활 탐구</t>
  </si>
  <si>
    <t>기하</t>
  </si>
  <si>
    <t xml:space="preserve">심화 영어 </t>
  </si>
  <si>
    <t>세계사</t>
  </si>
  <si>
    <t xml:space="preserve">윤리와 사상 </t>
  </si>
  <si>
    <t>경제</t>
  </si>
  <si>
    <t>세계시민과 지리</t>
  </si>
  <si>
    <t xml:space="preserve">역학과 에너지 </t>
  </si>
  <si>
    <t xml:space="preserve">물질과 에너지 </t>
  </si>
  <si>
    <t xml:space="preserve">세포와 물질대사 </t>
  </si>
  <si>
    <t>지구과학</t>
  </si>
  <si>
    <t>음악 감상과 비평</t>
  </si>
  <si>
    <t>미술과 매체</t>
  </si>
  <si>
    <t>데이터 과학</t>
  </si>
  <si>
    <t>일본 문화</t>
  </si>
  <si>
    <t xml:space="preserve">중국 문화 </t>
  </si>
  <si>
    <t xml:space="preserve">3
학년선택 </t>
  </si>
  <si>
    <t>문학과 영상</t>
  </si>
  <si>
    <t>경제 수학</t>
  </si>
  <si>
    <t>미적분Ⅱ</t>
  </si>
  <si>
    <t xml:space="preserve">심화 영어 독해와 작문 </t>
  </si>
  <si>
    <t>역사로 탐구하는 현대 세계</t>
  </si>
  <si>
    <t>인문학과 윤리</t>
  </si>
  <si>
    <t>사회와 문화</t>
  </si>
  <si>
    <t>한국지리 탐구</t>
  </si>
  <si>
    <t>기후변화와 지속가능한 세계</t>
  </si>
  <si>
    <t>전자기와 양자</t>
  </si>
  <si>
    <t>화학 반응의 세계</t>
  </si>
  <si>
    <t>생물의 유전</t>
  </si>
  <si>
    <t xml:space="preserve">지구시스템과학 </t>
  </si>
  <si>
    <t>융합과학 탐구</t>
  </si>
  <si>
    <t xml:space="preserve">스포츠 생활2 </t>
  </si>
  <si>
    <t xml:space="preserve">미술 창작 </t>
  </si>
  <si>
    <t>음악과 미디어</t>
  </si>
  <si>
    <t>소프트웨어와 생활</t>
  </si>
  <si>
    <t>일본어 회화</t>
  </si>
  <si>
    <t xml:space="preserve">중국어 회화 </t>
  </si>
  <si>
    <t>인간과 심리</t>
  </si>
  <si>
    <t>보건</t>
  </si>
  <si>
    <t>직무 의사소통</t>
  </si>
  <si>
    <t>24
(택8)</t>
  </si>
  <si>
    <t>독서 토론과 글쓰기</t>
  </si>
  <si>
    <t>실용 통계</t>
  </si>
  <si>
    <t>수학과제 탐구</t>
  </si>
  <si>
    <t>세계 문화와 영어</t>
  </si>
  <si>
    <t xml:space="preserve">한국사 심화 탐구 </t>
  </si>
  <si>
    <t>윤리문제 탐구</t>
  </si>
  <si>
    <t>사회문제 탐구</t>
  </si>
  <si>
    <t>금융과 경제생활</t>
  </si>
  <si>
    <t>여행지리</t>
  </si>
  <si>
    <t>과학의 역사와 문화</t>
  </si>
  <si>
    <t>기후변화와 환경생태</t>
  </si>
  <si>
    <t xml:space="preserve">운동과 건강 </t>
  </si>
  <si>
    <t>음악 이론</t>
  </si>
  <si>
    <t>특목고 선택 과목</t>
  </si>
  <si>
    <t>미술사</t>
  </si>
  <si>
    <t>심화 일본어</t>
  </si>
  <si>
    <t xml:space="preserve">심화 중국어 </t>
  </si>
  <si>
    <t>`</t>
  </si>
  <si>
    <t>생태와 환경</t>
  </si>
  <si>
    <t xml:space="preserve">인간과 경제활동 </t>
  </si>
  <si>
    <t>논술</t>
  </si>
  <si>
    <t>교과 이수 학점 소계</t>
  </si>
  <si>
    <t>창의적 체험활동</t>
  </si>
  <si>
    <t>학기별 총 이수 학점</t>
  </si>
  <si>
    <t>학기당 이수 과목 수</t>
  </si>
  <si>
    <t>학년별 총 이수 학점</t>
  </si>
  <si>
    <t>※ 유의사항
① 학교 지정과목 1학년 &lt;음악/미술&gt;, &lt;기술가정/정보&gt;는 1,2학기 교차 이수함. 
② 국어, 수학, 영어 교과를 학교지정 이외에 24학점 초과하여 선택할 수 없음.
③ 필수 이수 학점 충족을 위해 2~3학년 선택과목을 통해 &lt;예술&gt;교과에서 6학점을, &lt;기술가정/정보/제2외국어/한문/교양&gt;교과에서 6학점을 추가 이수해야함.
④ 특목고 선택과목인 &lt;음악 이론&gt;, &lt;미술사&gt;의 경우 상대평가(5등급)로 평가가 이루어짐. 
⑤ 본교는 1학년에 편성된 교과 이수 학점이 상대적으로 높아, 1학년 여름방학 이후 전입생은 전입 전 이수 학점에 따라 공동교육과정 또는 온라인학교를 통해 추가 학점 이수가 발생할 수 있음.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</si>
</sst>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72">
    <xf numFmtId="0" fontId="0" fillId="0" borderId="0" xfId="0"/>
    <xf numFmtId="0" fontId="0" fillId="0" borderId="22" xfId="0" applyBorder="1"/>
    <xf numFmtId="0" fontId="3" fillId="0" borderId="3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81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87" xfId="0" applyFont="1" applyFill="1" applyBorder="1" applyAlignment="1">
      <alignment horizontal="center" vertical="center" wrapText="1"/>
    </xf>
    <xf numFmtId="0" fontId="9" fillId="4" borderId="8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49" fontId="3" fillId="0" borderId="68" xfId="0" applyNumberFormat="1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89" xfId="0" applyFont="1" applyFill="1" applyBorder="1" applyAlignment="1">
      <alignment horizontal="center" vertical="center" wrapText="1"/>
    </xf>
    <xf numFmtId="0" fontId="3" fillId="2" borderId="67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shrinkToFit="1"/>
    </xf>
    <xf numFmtId="49" fontId="3" fillId="0" borderId="50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49" fontId="3" fillId="0" borderId="30" xfId="0" applyNumberFormat="1" applyFont="1" applyBorder="1" applyAlignment="1">
      <alignment horizontal="center" vertical="center" shrinkToFit="1"/>
    </xf>
    <xf numFmtId="49" fontId="3" fillId="0" borderId="30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shrinkToFit="1"/>
    </xf>
    <xf numFmtId="49" fontId="3" fillId="0" borderId="53" xfId="0" applyNumberFormat="1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91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shrinkToFit="1"/>
    </xf>
    <xf numFmtId="0" fontId="3" fillId="2" borderId="46" xfId="0" applyFont="1" applyFill="1" applyBorder="1" applyAlignment="1">
      <alignment horizontal="center" vertical="center" wrapText="1"/>
    </xf>
    <xf numFmtId="0" fontId="3" fillId="2" borderId="92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4" xfId="0" quotePrefix="1" applyFont="1" applyBorder="1" applyAlignment="1">
      <alignment horizontal="center" vertical="center" wrapText="1"/>
    </xf>
    <xf numFmtId="0" fontId="3" fillId="0" borderId="53" xfId="0" quotePrefix="1" applyFont="1" applyBorder="1" applyAlignment="1">
      <alignment horizontal="center" vertical="center" wrapText="1"/>
    </xf>
    <xf numFmtId="0" fontId="3" fillId="0" borderId="51" xfId="0" quotePrefix="1" applyFont="1" applyBorder="1" applyAlignment="1">
      <alignment horizontal="center" vertical="center" wrapText="1"/>
    </xf>
    <xf numFmtId="0" fontId="3" fillId="0" borderId="50" xfId="0" quotePrefix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49" fontId="3" fillId="5" borderId="30" xfId="0" applyNumberFormat="1" applyFont="1" applyFill="1" applyBorder="1" applyAlignment="1">
      <alignment horizontal="center" vertical="center" shrinkToFit="1"/>
    </xf>
    <xf numFmtId="0" fontId="10" fillId="0" borderId="85" xfId="0" applyFont="1" applyBorder="1" applyAlignment="1">
      <alignment horizontal="center" vertical="center" wrapText="1"/>
    </xf>
    <xf numFmtId="49" fontId="10" fillId="0" borderId="54" xfId="0" applyNumberFormat="1" applyFont="1" applyBorder="1" applyAlignment="1">
      <alignment horizontal="center" vertical="center" wrapText="1"/>
    </xf>
    <xf numFmtId="0" fontId="3" fillId="2" borderId="61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10" fillId="2" borderId="93" xfId="0" applyFont="1" applyFill="1" applyBorder="1" applyAlignment="1">
      <alignment horizontal="center" vertical="center" wrapText="1"/>
    </xf>
    <xf numFmtId="0" fontId="10" fillId="2" borderId="60" xfId="0" applyFont="1" applyFill="1" applyBorder="1" applyAlignment="1">
      <alignment horizontal="center" vertical="center" wrapText="1"/>
    </xf>
    <xf numFmtId="0" fontId="10" fillId="0" borderId="94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49" fontId="10" fillId="0" borderId="54" xfId="0" applyNumberFormat="1" applyFont="1" applyBorder="1" applyAlignment="1">
      <alignment horizontal="center" vertical="center" shrinkToFit="1"/>
    </xf>
    <xf numFmtId="49" fontId="3" fillId="0" borderId="54" xfId="0" applyNumberFormat="1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 wrapText="1"/>
    </xf>
    <xf numFmtId="49" fontId="10" fillId="0" borderId="34" xfId="0" applyNumberFormat="1" applyFont="1" applyBorder="1" applyAlignment="1">
      <alignment horizontal="center" vertical="center" wrapText="1"/>
    </xf>
    <xf numFmtId="0" fontId="10" fillId="2" borderId="91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0" borderId="95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49" fontId="10" fillId="0" borderId="34" xfId="0" applyNumberFormat="1" applyFont="1" applyBorder="1" applyAlignment="1">
      <alignment horizontal="center" vertical="center" shrinkToFit="1"/>
    </xf>
    <xf numFmtId="0" fontId="10" fillId="2" borderId="42" xfId="0" applyFont="1" applyFill="1" applyBorder="1" applyAlignment="1">
      <alignment horizontal="center" vertical="center" wrapText="1"/>
    </xf>
    <xf numFmtId="0" fontId="10" fillId="2" borderId="41" xfId="0" quotePrefix="1" applyFont="1" applyFill="1" applyBorder="1" applyAlignment="1">
      <alignment horizontal="center" vertical="center" wrapText="1"/>
    </xf>
    <xf numFmtId="0" fontId="10" fillId="2" borderId="95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53" xfId="0" applyFont="1" applyFill="1" applyBorder="1" applyAlignment="1">
      <alignment horizontal="center" vertical="center" wrapText="1"/>
    </xf>
    <xf numFmtId="49" fontId="10" fillId="0" borderId="30" xfId="0" applyNumberFormat="1" applyFont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31" xfId="0" quotePrefix="1" applyFont="1" applyFill="1" applyBorder="1" applyAlignment="1">
      <alignment horizontal="center" vertical="center" wrapText="1"/>
    </xf>
    <xf numFmtId="0" fontId="10" fillId="2" borderId="96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 wrapText="1"/>
    </xf>
    <xf numFmtId="0" fontId="10" fillId="2" borderId="50" xfId="0" applyFont="1" applyFill="1" applyBorder="1" applyAlignment="1">
      <alignment horizontal="center" vertical="center" wrapText="1"/>
    </xf>
    <xf numFmtId="49" fontId="10" fillId="0" borderId="30" xfId="0" applyNumberFormat="1" applyFont="1" applyBorder="1" applyAlignment="1">
      <alignment horizontal="center" vertical="center" shrinkToFit="1"/>
    </xf>
    <xf numFmtId="0" fontId="10" fillId="0" borderId="97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1" xfId="0" quotePrefix="1" applyFont="1" applyBorder="1" applyAlignment="1">
      <alignment horizontal="center" vertical="center" wrapText="1"/>
    </xf>
    <xf numFmtId="0" fontId="10" fillId="0" borderId="9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1" xfId="0" quotePrefix="1" applyFont="1" applyBorder="1" applyAlignment="1">
      <alignment horizontal="center" vertical="center" wrapText="1"/>
    </xf>
    <xf numFmtId="0" fontId="10" fillId="2" borderId="42" xfId="0" quotePrefix="1" applyFont="1" applyFill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2" borderId="32" xfId="0" quotePrefix="1" applyFont="1" applyFill="1" applyBorder="1" applyAlignment="1">
      <alignment horizontal="center" vertical="center" wrapText="1"/>
    </xf>
    <xf numFmtId="0" fontId="10" fillId="0" borderId="96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49" fontId="3" fillId="0" borderId="61" xfId="0" applyNumberFormat="1" applyFont="1" applyBorder="1" applyAlignment="1">
      <alignment horizontal="center" vertical="center" wrapText="1"/>
    </xf>
    <xf numFmtId="0" fontId="3" fillId="2" borderId="99" xfId="0" applyFont="1" applyFill="1" applyBorder="1" applyAlignment="1">
      <alignment horizontal="center" vertical="center" wrapText="1"/>
    </xf>
    <xf numFmtId="0" fontId="10" fillId="2" borderId="68" xfId="0" applyFont="1" applyFill="1" applyBorder="1" applyAlignment="1">
      <alignment horizontal="center" vertical="center" wrapText="1"/>
    </xf>
    <xf numFmtId="0" fontId="10" fillId="0" borderId="60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39" xfId="0" quotePrefix="1" applyFont="1" applyFill="1" applyBorder="1" applyAlignment="1">
      <alignment horizontal="center" vertical="center" wrapText="1"/>
    </xf>
    <xf numFmtId="0" fontId="10" fillId="2" borderId="47" xfId="0" applyFont="1" applyFill="1" applyBorder="1" applyAlignment="1">
      <alignment horizontal="center" vertical="center" wrapText="1"/>
    </xf>
    <xf numFmtId="0" fontId="10" fillId="2" borderId="46" xfId="0" applyFont="1" applyFill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shrinkToFit="1"/>
    </xf>
    <xf numFmtId="49" fontId="3" fillId="0" borderId="38" xfId="0" applyNumberFormat="1" applyFont="1" applyBorder="1" applyAlignment="1">
      <alignment horizontal="center" vertical="center" wrapText="1"/>
    </xf>
    <xf numFmtId="0" fontId="10" fillId="0" borderId="44" xfId="0" quotePrefix="1" applyFont="1" applyBorder="1" applyAlignment="1">
      <alignment horizontal="center" vertical="center" wrapText="1"/>
    </xf>
    <xf numFmtId="0" fontId="10" fillId="0" borderId="53" xfId="0" quotePrefix="1" applyFont="1" applyBorder="1" applyAlignment="1">
      <alignment horizontal="center" vertical="center" wrapText="1"/>
    </xf>
    <xf numFmtId="0" fontId="10" fillId="0" borderId="51" xfId="0" quotePrefix="1" applyFont="1" applyBorder="1" applyAlignment="1">
      <alignment horizontal="center" vertical="center" wrapText="1"/>
    </xf>
    <xf numFmtId="0" fontId="10" fillId="0" borderId="50" xfId="0" quotePrefix="1" applyFont="1" applyBorder="1" applyAlignment="1">
      <alignment horizontal="center" vertical="center" wrapText="1"/>
    </xf>
    <xf numFmtId="49" fontId="10" fillId="0" borderId="28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shrinkToFit="1"/>
    </xf>
    <xf numFmtId="0" fontId="10" fillId="2" borderId="27" xfId="0" quotePrefix="1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49" fontId="10" fillId="0" borderId="28" xfId="0" applyNumberFormat="1" applyFont="1" applyBorder="1" applyAlignment="1">
      <alignment horizontal="center" vertical="center" shrinkToFit="1"/>
    </xf>
    <xf numFmtId="49" fontId="3" fillId="0" borderId="48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40" xfId="0" quotePrefix="1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2" borderId="57" xfId="0" applyFont="1" applyFill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shrinkToFit="1"/>
    </xf>
    <xf numFmtId="0" fontId="10" fillId="2" borderId="36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100" xfId="0" applyFont="1" applyFill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74" xfId="0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shrinkToFit="1"/>
    </xf>
    <xf numFmtId="49" fontId="3" fillId="0" borderId="52" xfId="0" applyNumberFormat="1" applyFont="1" applyBorder="1" applyAlignment="1">
      <alignment horizontal="center" vertical="center" wrapText="1"/>
    </xf>
    <xf numFmtId="0" fontId="10" fillId="0" borderId="101" xfId="0" applyFont="1" applyBorder="1" applyAlignment="1">
      <alignment horizontal="center" vertical="center" wrapText="1"/>
    </xf>
    <xf numFmtId="0" fontId="10" fillId="0" borderId="102" xfId="0" applyFont="1" applyBorder="1" applyAlignment="1">
      <alignment horizontal="center" vertical="center" wrapText="1"/>
    </xf>
    <xf numFmtId="0" fontId="10" fillId="0" borderId="103" xfId="0" applyFont="1" applyBorder="1" applyAlignment="1">
      <alignment horizontal="center" vertical="center" wrapText="1"/>
    </xf>
    <xf numFmtId="0" fontId="10" fillId="0" borderId="104" xfId="0" applyFont="1" applyBorder="1" applyAlignment="1">
      <alignment horizontal="center" vertical="center" wrapText="1"/>
    </xf>
    <xf numFmtId="0" fontId="10" fillId="2" borderId="102" xfId="0" applyFont="1" applyFill="1" applyBorder="1" applyAlignment="1">
      <alignment horizontal="center" vertical="center" wrapText="1"/>
    </xf>
    <xf numFmtId="49" fontId="10" fillId="5" borderId="34" xfId="0" applyNumberFormat="1" applyFont="1" applyFill="1" applyBorder="1" applyAlignment="1">
      <alignment horizontal="center" vertical="center" shrinkToFit="1"/>
    </xf>
    <xf numFmtId="0" fontId="10" fillId="2" borderId="104" xfId="0" applyFont="1" applyFill="1" applyBorder="1" applyAlignment="1">
      <alignment horizontal="center" vertical="center" wrapText="1"/>
    </xf>
    <xf numFmtId="0" fontId="10" fillId="2" borderId="92" xfId="0" applyFont="1" applyFill="1" applyBorder="1" applyAlignment="1">
      <alignment horizontal="center" vertical="center" wrapText="1"/>
    </xf>
    <xf numFmtId="0" fontId="10" fillId="0" borderId="95" xfId="0" quotePrefix="1" applyFont="1" applyBorder="1" applyAlignment="1">
      <alignment horizontal="center" vertical="center" wrapText="1"/>
    </xf>
    <xf numFmtId="0" fontId="10" fillId="0" borderId="96" xfId="0" quotePrefix="1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shrinkToFit="1"/>
    </xf>
    <xf numFmtId="0" fontId="10" fillId="0" borderId="32" xfId="0" quotePrefix="1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49" fontId="10" fillId="0" borderId="1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0" fillId="5" borderId="72" xfId="0" applyFont="1" applyFill="1" applyBorder="1" applyAlignment="1">
      <alignment horizontal="center" vertical="center" wrapText="1"/>
    </xf>
    <xf numFmtId="0" fontId="10" fillId="0" borderId="105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0" fontId="10" fillId="0" borderId="106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10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0" fillId="0" borderId="64" xfId="0" applyBorder="1"/>
    <xf numFmtId="0" fontId="8" fillId="0" borderId="58" xfId="0" applyFont="1" applyBorder="1" applyAlignment="1">
      <alignment horizontal="center" vertical="center" wrapText="1"/>
    </xf>
    <xf numFmtId="0" fontId="0" fillId="0" borderId="33" xfId="0" applyBorder="1"/>
    <xf numFmtId="0" fontId="10" fillId="3" borderId="14" xfId="0" applyFont="1" applyFill="1" applyBorder="1" applyAlignment="1">
      <alignment horizontal="center" vertical="center" wrapText="1"/>
    </xf>
    <xf numFmtId="0" fontId="0" fillId="0" borderId="7" xfId="0" applyBorder="1"/>
    <xf numFmtId="0" fontId="10" fillId="0" borderId="75" xfId="0" applyFont="1" applyBorder="1" applyAlignment="1">
      <alignment horizontal="center" vertical="center" wrapText="1"/>
    </xf>
    <xf numFmtId="0" fontId="0" fillId="0" borderId="81" xfId="0" applyBorder="1"/>
    <xf numFmtId="0" fontId="10" fillId="0" borderId="71" xfId="0" applyFont="1" applyBorder="1" applyAlignment="1">
      <alignment horizontal="center" vertical="center" wrapText="1"/>
    </xf>
    <xf numFmtId="0" fontId="0" fillId="0" borderId="83" xfId="0" applyBorder="1"/>
    <xf numFmtId="0" fontId="3" fillId="0" borderId="15" xfId="0" applyFont="1" applyBorder="1" applyAlignment="1">
      <alignment horizontal="center" vertical="center" wrapText="1"/>
    </xf>
    <xf numFmtId="0" fontId="0" fillId="0" borderId="19" xfId="0" applyBorder="1"/>
    <xf numFmtId="0" fontId="5" fillId="4" borderId="116" xfId="0" applyFont="1" applyFill="1" applyBorder="1" applyAlignment="1">
      <alignment horizontal="center" vertical="center" wrapText="1"/>
    </xf>
    <xf numFmtId="0" fontId="0" fillId="0" borderId="86" xfId="0" applyBorder="1"/>
    <xf numFmtId="0" fontId="5" fillId="4" borderId="88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" xfId="0" applyBorder="1"/>
    <xf numFmtId="0" fontId="10" fillId="0" borderId="43" xfId="0" applyFont="1" applyBorder="1" applyAlignment="1">
      <alignment horizontal="center" vertical="center" wrapText="1"/>
    </xf>
    <xf numFmtId="0" fontId="10" fillId="0" borderId="114" xfId="0" applyFont="1" applyBorder="1" applyAlignment="1">
      <alignment horizontal="center" vertical="center" wrapText="1"/>
    </xf>
    <xf numFmtId="0" fontId="0" fillId="0" borderId="109" xfId="0" applyBorder="1"/>
    <xf numFmtId="0" fontId="10" fillId="0" borderId="111" xfId="0" applyFont="1" applyBorder="1" applyAlignment="1">
      <alignment horizontal="center" vertical="center" wrapText="1"/>
    </xf>
    <xf numFmtId="0" fontId="0" fillId="0" borderId="108" xfId="0" applyBorder="1"/>
    <xf numFmtId="0" fontId="3" fillId="0" borderId="69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0" fillId="0" borderId="16" xfId="0" applyBorder="1"/>
    <xf numFmtId="0" fontId="6" fillId="0" borderId="5" xfId="0" applyFont="1" applyBorder="1" applyAlignment="1">
      <alignment horizontal="left" vertical="center" wrapText="1"/>
    </xf>
    <xf numFmtId="0" fontId="0" fillId="0" borderId="5" xfId="0" applyBorder="1"/>
    <xf numFmtId="0" fontId="3" fillId="0" borderId="8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23" xfId="0" applyBorder="1"/>
    <xf numFmtId="0" fontId="5" fillId="4" borderId="70" xfId="0" applyFont="1" applyFill="1" applyBorder="1" applyAlignment="1">
      <alignment horizontal="center" vertical="center" wrapText="1"/>
    </xf>
    <xf numFmtId="0" fontId="0" fillId="0" borderId="62" xfId="0" applyBorder="1"/>
    <xf numFmtId="0" fontId="10" fillId="6" borderId="6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 wrapText="1"/>
    </xf>
    <xf numFmtId="0" fontId="0" fillId="0" borderId="13" xfId="0" applyBorder="1"/>
    <xf numFmtId="0" fontId="0" fillId="0" borderId="9" xfId="0" applyBorder="1"/>
    <xf numFmtId="0" fontId="5" fillId="4" borderId="117" xfId="0" applyFont="1" applyFill="1" applyBorder="1" applyAlignment="1">
      <alignment horizontal="center" vertical="center" wrapText="1"/>
    </xf>
    <xf numFmtId="0" fontId="0" fillId="0" borderId="82" xfId="0" applyBorder="1"/>
    <xf numFmtId="0" fontId="3" fillId="0" borderId="9" xfId="0" applyFont="1" applyBorder="1" applyAlignment="1">
      <alignment horizontal="center" vertical="center" wrapText="1"/>
    </xf>
    <xf numFmtId="0" fontId="0" fillId="0" borderId="45" xfId="0" applyBorder="1"/>
    <xf numFmtId="0" fontId="10" fillId="2" borderId="55" xfId="0" applyFont="1" applyFill="1" applyBorder="1" applyAlignment="1">
      <alignment horizontal="center" vertical="center" wrapText="1"/>
    </xf>
    <xf numFmtId="0" fontId="0" fillId="0" borderId="21" xfId="0" applyBorder="1"/>
    <xf numFmtId="0" fontId="8" fillId="4" borderId="112" xfId="0" applyFont="1" applyFill="1" applyBorder="1" applyAlignment="1">
      <alignment horizontal="left" vertical="top" wrapText="1"/>
    </xf>
    <xf numFmtId="0" fontId="0" fillId="0" borderId="24" xfId="0" applyBorder="1"/>
    <xf numFmtId="0" fontId="0" fillId="0" borderId="76" xfId="0" applyBorder="1"/>
    <xf numFmtId="0" fontId="0" fillId="0" borderId="22" xfId="0" applyBorder="1"/>
    <xf numFmtId="0" fontId="0" fillId="0" borderId="0" xfId="0" applyAlignment="1">
      <alignment horizontal="center" vertical="center"/>
    </xf>
    <xf numFmtId="0" fontId="0" fillId="0" borderId="77" xfId="0" applyBorder="1"/>
    <xf numFmtId="0" fontId="0" fillId="0" borderId="6" xfId="0" applyBorder="1"/>
    <xf numFmtId="0" fontId="0" fillId="0" borderId="1" xfId="0" applyBorder="1"/>
    <xf numFmtId="0" fontId="7" fillId="0" borderId="0" xfId="0" applyFont="1" applyAlignment="1">
      <alignment horizontal="center" vertical="center" wrapText="1"/>
    </xf>
    <xf numFmtId="0" fontId="5" fillId="4" borderId="112" xfId="0" applyFont="1" applyFill="1" applyBorder="1" applyAlignment="1">
      <alignment horizontal="center" vertical="center" wrapText="1"/>
    </xf>
    <xf numFmtId="0" fontId="0" fillId="0" borderId="29" xfId="0" applyBorder="1"/>
    <xf numFmtId="0" fontId="5" fillId="4" borderId="72" xfId="0" applyFont="1" applyFill="1" applyBorder="1" applyAlignment="1">
      <alignment horizontal="center" vertical="center" wrapText="1"/>
    </xf>
    <xf numFmtId="0" fontId="0" fillId="0" borderId="79" xfId="0" applyBorder="1"/>
    <xf numFmtId="0" fontId="10" fillId="0" borderId="66" xfId="0" applyFont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0" fillId="0" borderId="20" xfId="0" applyBorder="1"/>
    <xf numFmtId="0" fontId="10" fillId="0" borderId="55" xfId="0" applyFont="1" applyBorder="1" applyAlignment="1">
      <alignment horizontal="center" vertical="center" wrapText="1"/>
    </xf>
    <xf numFmtId="0" fontId="5" fillId="4" borderId="110" xfId="0" applyFont="1" applyFill="1" applyBorder="1" applyAlignment="1">
      <alignment horizontal="center" vertical="center" wrapText="1"/>
    </xf>
    <xf numFmtId="0" fontId="0" fillId="0" borderId="25" xfId="0" applyBorder="1"/>
    <xf numFmtId="0" fontId="5" fillId="4" borderId="115" xfId="0" applyFont="1" applyFill="1" applyBorder="1" applyAlignment="1">
      <alignment horizontal="center" vertical="center" wrapText="1"/>
    </xf>
    <xf numFmtId="0" fontId="0" fillId="0" borderId="3" xfId="0" applyBorder="1"/>
    <xf numFmtId="0" fontId="10" fillId="0" borderId="73" xfId="0" applyFont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0" fillId="0" borderId="78" xfId="0" applyBorder="1"/>
    <xf numFmtId="0" fontId="10" fillId="0" borderId="113" xfId="0" applyFont="1" applyBorder="1" applyAlignment="1">
      <alignment horizontal="center" vertical="center" wrapText="1"/>
    </xf>
    <xf numFmtId="0" fontId="0" fillId="0" borderId="80" xfId="0" applyBorder="1"/>
  </cellXfs>
  <cellStyles count="2">
    <cellStyle name="표준" xfId="0" builtinId="0"/>
    <cellStyle name="표준 3" xfId="1" xr:uid="{00000000-0005-0000-0000-000001000000}"/>
  </cellStyles>
  <dxfs count="17"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당표 작성 요령"/>
      <sheetName val="2025입학생"/>
      <sheetName val="데이터베이스"/>
      <sheetName val="2026입학생"/>
    </sheetNames>
    <sheetDataSet>
      <sheetData sheetId="0"/>
      <sheetData sheetId="1"/>
      <sheetData sheetId="2">
        <row r="2">
          <cell r="A2" t="str">
            <v>국 어</v>
          </cell>
        </row>
        <row r="13">
          <cell r="D13" t="str">
            <v>과목명</v>
          </cell>
          <cell r="E13" t="str">
            <v>기본학점</v>
          </cell>
        </row>
        <row r="14">
          <cell r="D14" t="str">
            <v>공통국어1</v>
          </cell>
          <cell r="E14">
            <v>4</v>
          </cell>
        </row>
        <row r="15">
          <cell r="D15" t="str">
            <v>공통국어2</v>
          </cell>
          <cell r="E15">
            <v>4</v>
          </cell>
        </row>
        <row r="16">
          <cell r="D16" t="str">
            <v>공통수학1</v>
          </cell>
          <cell r="E16">
            <v>4</v>
          </cell>
        </row>
        <row r="17">
          <cell r="D17" t="str">
            <v>공통수학2</v>
          </cell>
          <cell r="E17">
            <v>4</v>
          </cell>
        </row>
        <row r="18">
          <cell r="D18" t="str">
            <v>기본수학1</v>
          </cell>
          <cell r="E18">
            <v>4</v>
          </cell>
        </row>
        <row r="19">
          <cell r="D19" t="str">
            <v>기본수학2</v>
          </cell>
          <cell r="E19">
            <v>4</v>
          </cell>
        </row>
        <row r="20">
          <cell r="D20" t="str">
            <v>공통영어1</v>
          </cell>
          <cell r="E20">
            <v>4</v>
          </cell>
        </row>
        <row r="21">
          <cell r="D21" t="str">
            <v>공통영어2</v>
          </cell>
          <cell r="E21">
            <v>4</v>
          </cell>
        </row>
        <row r="22">
          <cell r="D22" t="str">
            <v>기본영어1</v>
          </cell>
          <cell r="E22">
            <v>4</v>
          </cell>
        </row>
        <row r="23">
          <cell r="D23" t="str">
            <v>기본영어2</v>
          </cell>
          <cell r="E23">
            <v>4</v>
          </cell>
        </row>
        <row r="24">
          <cell r="D24" t="str">
            <v>한국사1</v>
          </cell>
          <cell r="E24">
            <v>3</v>
          </cell>
        </row>
        <row r="25">
          <cell r="D25" t="str">
            <v>한국사2</v>
          </cell>
          <cell r="E25">
            <v>3</v>
          </cell>
        </row>
        <row r="26">
          <cell r="D26" t="str">
            <v>통합사회1</v>
          </cell>
          <cell r="E26">
            <v>4</v>
          </cell>
        </row>
        <row r="27">
          <cell r="D27" t="str">
            <v>통합사회2</v>
          </cell>
          <cell r="E27">
            <v>4</v>
          </cell>
        </row>
        <row r="28">
          <cell r="D28" t="str">
            <v>통합과학1</v>
          </cell>
          <cell r="E28">
            <v>4</v>
          </cell>
        </row>
        <row r="29">
          <cell r="D29" t="str">
            <v>통합과학2</v>
          </cell>
          <cell r="E29">
            <v>4</v>
          </cell>
        </row>
        <row r="30">
          <cell r="D30" t="str">
            <v>과학탐구실험1</v>
          </cell>
          <cell r="E30">
            <v>1</v>
          </cell>
        </row>
        <row r="31">
          <cell r="D31" t="str">
            <v>과학탐구실험2</v>
          </cell>
          <cell r="E31">
            <v>1</v>
          </cell>
        </row>
        <row r="32">
          <cell r="D32" t="str">
            <v xml:space="preserve">화법과 언어 </v>
          </cell>
          <cell r="E32">
            <v>4</v>
          </cell>
        </row>
        <row r="33">
          <cell r="D33" t="str">
            <v xml:space="preserve">독서와 작문 </v>
          </cell>
          <cell r="E33">
            <v>4</v>
          </cell>
        </row>
        <row r="34">
          <cell r="D34" t="str">
            <v>문학</v>
          </cell>
          <cell r="E34">
            <v>4</v>
          </cell>
        </row>
        <row r="35">
          <cell r="D35" t="str">
            <v>대수</v>
          </cell>
          <cell r="E35">
            <v>4</v>
          </cell>
        </row>
        <row r="36">
          <cell r="D36" t="str">
            <v>미적분Ⅰ</v>
          </cell>
          <cell r="E36">
            <v>4</v>
          </cell>
        </row>
        <row r="37">
          <cell r="D37" t="str">
            <v>확률과 통계</v>
          </cell>
          <cell r="E37">
            <v>4</v>
          </cell>
        </row>
        <row r="38">
          <cell r="D38" t="str">
            <v>영어Ⅰ</v>
          </cell>
          <cell r="E38">
            <v>4</v>
          </cell>
        </row>
        <row r="39">
          <cell r="D39" t="str">
            <v>영어Ⅱ</v>
          </cell>
          <cell r="E39">
            <v>4</v>
          </cell>
        </row>
        <row r="40">
          <cell r="D40" t="str">
            <v>영어 독해와 작문</v>
          </cell>
          <cell r="E40">
            <v>4</v>
          </cell>
        </row>
        <row r="41">
          <cell r="D41" t="str">
            <v>세계시민과 지리</v>
          </cell>
          <cell r="E41">
            <v>4</v>
          </cell>
        </row>
        <row r="42">
          <cell r="D42" t="str">
            <v>세계사</v>
          </cell>
          <cell r="E42">
            <v>4</v>
          </cell>
        </row>
        <row r="43">
          <cell r="D43" t="str">
            <v>사회와 문화</v>
          </cell>
          <cell r="E43">
            <v>4</v>
          </cell>
        </row>
        <row r="44">
          <cell r="D44" t="str">
            <v>현대사회와 윤리</v>
          </cell>
          <cell r="E44">
            <v>4</v>
          </cell>
        </row>
        <row r="45">
          <cell r="D45" t="str">
            <v>물리학</v>
          </cell>
          <cell r="E45">
            <v>4</v>
          </cell>
        </row>
        <row r="46">
          <cell r="D46" t="str">
            <v>화학</v>
          </cell>
          <cell r="E46">
            <v>4</v>
          </cell>
        </row>
        <row r="47">
          <cell r="D47" t="str">
            <v xml:space="preserve">생명과학 </v>
          </cell>
          <cell r="E47">
            <v>4</v>
          </cell>
        </row>
        <row r="48">
          <cell r="D48" t="str">
            <v>지구과학</v>
          </cell>
          <cell r="E48">
            <v>4</v>
          </cell>
        </row>
        <row r="49">
          <cell r="D49" t="str">
            <v>체육1</v>
          </cell>
          <cell r="E49">
            <v>3</v>
          </cell>
        </row>
        <row r="50">
          <cell r="D50" t="str">
            <v>체육2</v>
          </cell>
          <cell r="E50">
            <v>3</v>
          </cell>
        </row>
        <row r="51">
          <cell r="D51" t="str">
            <v>음악</v>
          </cell>
          <cell r="E51">
            <v>3</v>
          </cell>
        </row>
        <row r="52">
          <cell r="D52" t="str">
            <v>미술</v>
          </cell>
          <cell r="E52">
            <v>3</v>
          </cell>
        </row>
        <row r="53">
          <cell r="D53" t="str">
            <v>연극</v>
          </cell>
          <cell r="E53">
            <v>3</v>
          </cell>
        </row>
        <row r="54">
          <cell r="D54" t="str">
            <v>기술∙가정</v>
          </cell>
          <cell r="E54">
            <v>4</v>
          </cell>
        </row>
        <row r="55">
          <cell r="D55" t="str">
            <v>정보</v>
          </cell>
          <cell r="E55">
            <v>4</v>
          </cell>
        </row>
        <row r="56">
          <cell r="D56" t="str">
            <v xml:space="preserve">독일어 </v>
          </cell>
          <cell r="E56">
            <v>4</v>
          </cell>
        </row>
        <row r="57">
          <cell r="D57" t="str">
            <v>프랑스어</v>
          </cell>
          <cell r="E57">
            <v>4</v>
          </cell>
        </row>
        <row r="58">
          <cell r="D58" t="str">
            <v>스페인어</v>
          </cell>
          <cell r="E58">
            <v>4</v>
          </cell>
        </row>
        <row r="59">
          <cell r="D59" t="str">
            <v>중국어</v>
          </cell>
          <cell r="E59">
            <v>4</v>
          </cell>
        </row>
        <row r="60">
          <cell r="D60" t="str">
            <v xml:space="preserve">일본어 </v>
          </cell>
          <cell r="E60">
            <v>4</v>
          </cell>
        </row>
        <row r="61">
          <cell r="D61" t="str">
            <v>러시아어</v>
          </cell>
          <cell r="E61">
            <v>4</v>
          </cell>
        </row>
        <row r="62">
          <cell r="D62" t="str">
            <v>아랍어</v>
          </cell>
          <cell r="E62">
            <v>4</v>
          </cell>
        </row>
        <row r="63">
          <cell r="D63" t="str">
            <v>베트남어</v>
          </cell>
          <cell r="E63">
            <v>4</v>
          </cell>
        </row>
        <row r="64">
          <cell r="D64" t="str">
            <v>한문</v>
          </cell>
          <cell r="E64">
            <v>4</v>
          </cell>
        </row>
        <row r="65">
          <cell r="D65" t="str">
            <v xml:space="preserve">진로와 직업 </v>
          </cell>
          <cell r="E65">
            <v>3</v>
          </cell>
        </row>
        <row r="66">
          <cell r="D66" t="str">
            <v>생태와 환경</v>
          </cell>
          <cell r="E66">
            <v>3</v>
          </cell>
        </row>
        <row r="67">
          <cell r="D67" t="str">
            <v xml:space="preserve">주제 탐구 독서 </v>
          </cell>
          <cell r="E67">
            <v>4</v>
          </cell>
        </row>
        <row r="68">
          <cell r="D68" t="str">
            <v>문학과 영상</v>
          </cell>
          <cell r="E68">
            <v>4</v>
          </cell>
        </row>
        <row r="69">
          <cell r="D69" t="str">
            <v>직무 의사소통</v>
          </cell>
          <cell r="E69">
            <v>4</v>
          </cell>
        </row>
        <row r="70">
          <cell r="D70" t="str">
            <v>기하</v>
          </cell>
          <cell r="E70">
            <v>4</v>
          </cell>
        </row>
        <row r="71">
          <cell r="D71" t="str">
            <v>미적분Ⅱ</v>
          </cell>
          <cell r="E71">
            <v>4</v>
          </cell>
        </row>
        <row r="72">
          <cell r="D72" t="str">
            <v>경제 수학</v>
          </cell>
          <cell r="E72">
            <v>4</v>
          </cell>
        </row>
        <row r="73">
          <cell r="D73" t="str">
            <v>인공지능 수학</v>
          </cell>
          <cell r="E73">
            <v>4</v>
          </cell>
        </row>
        <row r="74">
          <cell r="D74" t="str">
            <v>직무 수학</v>
          </cell>
          <cell r="E74">
            <v>4</v>
          </cell>
        </row>
        <row r="75">
          <cell r="D75" t="str">
            <v>영미 문학 읽기</v>
          </cell>
          <cell r="E75">
            <v>4</v>
          </cell>
        </row>
        <row r="76">
          <cell r="D76" t="str">
            <v>영어 발표와 토론</v>
          </cell>
          <cell r="E76">
            <v>4</v>
          </cell>
        </row>
        <row r="77">
          <cell r="D77" t="str">
            <v xml:space="preserve">심화 영어 </v>
          </cell>
          <cell r="E77">
            <v>4</v>
          </cell>
        </row>
        <row r="78">
          <cell r="D78" t="str">
            <v xml:space="preserve">심화 영어 독해와 작문 </v>
          </cell>
          <cell r="E78">
            <v>4</v>
          </cell>
        </row>
        <row r="79">
          <cell r="D79" t="str">
            <v>직무 영어</v>
          </cell>
          <cell r="E79">
            <v>4</v>
          </cell>
        </row>
        <row r="80">
          <cell r="D80" t="str">
            <v>한국지리 탐구</v>
          </cell>
          <cell r="E80">
            <v>4</v>
          </cell>
        </row>
        <row r="81">
          <cell r="D81" t="str">
            <v xml:space="preserve">도시의 미래 탐구 </v>
          </cell>
          <cell r="E81">
            <v>4</v>
          </cell>
        </row>
        <row r="82">
          <cell r="D82" t="str">
            <v>동아시아 역사 기행</v>
          </cell>
          <cell r="E82">
            <v>4</v>
          </cell>
        </row>
        <row r="83">
          <cell r="D83" t="str">
            <v>정치</v>
          </cell>
          <cell r="E83">
            <v>4</v>
          </cell>
        </row>
        <row r="84">
          <cell r="D84" t="str">
            <v xml:space="preserve">법과 사회 </v>
          </cell>
          <cell r="E84">
            <v>4</v>
          </cell>
        </row>
        <row r="85">
          <cell r="D85" t="str">
            <v>경제</v>
          </cell>
          <cell r="E85">
            <v>4</v>
          </cell>
        </row>
        <row r="86">
          <cell r="D86" t="str">
            <v xml:space="preserve">윤리와 사상 </v>
          </cell>
          <cell r="E86">
            <v>4</v>
          </cell>
        </row>
        <row r="87">
          <cell r="D87" t="str">
            <v>인문학과 윤리</v>
          </cell>
          <cell r="E87">
            <v>4</v>
          </cell>
        </row>
        <row r="88">
          <cell r="D88" t="str">
            <v>국제 관계의 이해</v>
          </cell>
          <cell r="E88">
            <v>4</v>
          </cell>
        </row>
        <row r="89">
          <cell r="D89" t="str">
            <v xml:space="preserve">역학과 에너지 </v>
          </cell>
          <cell r="E89">
            <v>4</v>
          </cell>
        </row>
        <row r="90">
          <cell r="D90" t="str">
            <v>전자기와 양자</v>
          </cell>
          <cell r="E90">
            <v>4</v>
          </cell>
        </row>
        <row r="91">
          <cell r="D91" t="str">
            <v xml:space="preserve">물질과 에너지 </v>
          </cell>
          <cell r="E91">
            <v>4</v>
          </cell>
        </row>
        <row r="92">
          <cell r="D92" t="str">
            <v>화학 반응의 세계</v>
          </cell>
          <cell r="E92">
            <v>4</v>
          </cell>
        </row>
        <row r="93">
          <cell r="D93" t="str">
            <v xml:space="preserve">세포와 물질대사 </v>
          </cell>
          <cell r="E93">
            <v>4</v>
          </cell>
        </row>
        <row r="94">
          <cell r="D94" t="str">
            <v>생물의 유전</v>
          </cell>
          <cell r="E94">
            <v>4</v>
          </cell>
        </row>
        <row r="95">
          <cell r="D95" t="str">
            <v xml:space="preserve">지구시스템과학 </v>
          </cell>
          <cell r="E95">
            <v>4</v>
          </cell>
        </row>
        <row r="96">
          <cell r="D96" t="str">
            <v>행성우주과학</v>
          </cell>
          <cell r="E96">
            <v>4</v>
          </cell>
        </row>
        <row r="97">
          <cell r="D97" t="str">
            <v xml:space="preserve">운동과 건강 </v>
          </cell>
          <cell r="E97">
            <v>3</v>
          </cell>
        </row>
        <row r="98">
          <cell r="D98" t="str">
            <v>스포츠 문화</v>
          </cell>
          <cell r="E98">
            <v>2</v>
          </cell>
        </row>
        <row r="99">
          <cell r="D99" t="str">
            <v>스포츠 과학</v>
          </cell>
          <cell r="E99">
            <v>2</v>
          </cell>
        </row>
        <row r="100">
          <cell r="D100" t="str">
            <v>음악 연주와 창작</v>
          </cell>
          <cell r="E100">
            <v>3</v>
          </cell>
        </row>
        <row r="101">
          <cell r="D101" t="str">
            <v>음악 감상과 비평</v>
          </cell>
          <cell r="E101">
            <v>3</v>
          </cell>
        </row>
        <row r="102">
          <cell r="D102" t="str">
            <v xml:space="preserve">미술 창작 </v>
          </cell>
          <cell r="E102">
            <v>3</v>
          </cell>
        </row>
        <row r="103">
          <cell r="D103" t="str">
            <v>미술 감상과 비평</v>
          </cell>
          <cell r="E103">
            <v>3</v>
          </cell>
        </row>
        <row r="104">
          <cell r="D104" t="str">
            <v>로봇과 공학세계</v>
          </cell>
          <cell r="E104">
            <v>4</v>
          </cell>
        </row>
        <row r="105">
          <cell r="D105" t="str">
            <v>생활과학 탐구</v>
          </cell>
          <cell r="E105">
            <v>4</v>
          </cell>
        </row>
        <row r="106">
          <cell r="D106" t="str">
            <v xml:space="preserve">인공지능 기초 </v>
          </cell>
          <cell r="E106">
            <v>4</v>
          </cell>
        </row>
        <row r="107">
          <cell r="D107" t="str">
            <v>데이터 과학</v>
          </cell>
          <cell r="E107">
            <v>4</v>
          </cell>
        </row>
        <row r="108">
          <cell r="D108" t="str">
            <v>독일어 회화</v>
          </cell>
          <cell r="E108">
            <v>4</v>
          </cell>
        </row>
        <row r="109">
          <cell r="D109" t="str">
            <v xml:space="preserve">프랑스어 회화 </v>
          </cell>
          <cell r="E109">
            <v>4</v>
          </cell>
        </row>
        <row r="110">
          <cell r="D110" t="str">
            <v>스페인어 회화</v>
          </cell>
          <cell r="E110">
            <v>4</v>
          </cell>
        </row>
        <row r="111">
          <cell r="D111" t="str">
            <v xml:space="preserve">중국어 회화 </v>
          </cell>
          <cell r="E111">
            <v>4</v>
          </cell>
        </row>
        <row r="112">
          <cell r="D112" t="str">
            <v>일본어 회화</v>
          </cell>
          <cell r="E112">
            <v>4</v>
          </cell>
        </row>
        <row r="113">
          <cell r="D113" t="str">
            <v xml:space="preserve">러시아어 회화 </v>
          </cell>
          <cell r="E113">
            <v>4</v>
          </cell>
        </row>
        <row r="114">
          <cell r="D114" t="str">
            <v>아랍어 회화</v>
          </cell>
          <cell r="E114">
            <v>4</v>
          </cell>
        </row>
        <row r="115">
          <cell r="D115" t="str">
            <v>베트남어 회화</v>
          </cell>
          <cell r="E115">
            <v>4</v>
          </cell>
        </row>
        <row r="116">
          <cell r="D116" t="str">
            <v>심화 독일어</v>
          </cell>
          <cell r="E116">
            <v>4</v>
          </cell>
        </row>
        <row r="117">
          <cell r="D117" t="str">
            <v xml:space="preserve">심화 프랑스어 </v>
          </cell>
          <cell r="E117">
            <v>4</v>
          </cell>
        </row>
        <row r="118">
          <cell r="D118" t="str">
            <v>심화 스페인어</v>
          </cell>
          <cell r="E118">
            <v>4</v>
          </cell>
        </row>
        <row r="119">
          <cell r="D119" t="str">
            <v xml:space="preserve">심화 중국어 </v>
          </cell>
          <cell r="E119">
            <v>4</v>
          </cell>
        </row>
        <row r="120">
          <cell r="D120" t="str">
            <v>심화 일본어</v>
          </cell>
          <cell r="E120">
            <v>4</v>
          </cell>
        </row>
        <row r="121">
          <cell r="D121" t="str">
            <v xml:space="preserve">심화 러시아어 </v>
          </cell>
          <cell r="E121">
            <v>4</v>
          </cell>
        </row>
        <row r="122">
          <cell r="D122" t="str">
            <v>심화 아랍어</v>
          </cell>
          <cell r="E122">
            <v>4</v>
          </cell>
        </row>
        <row r="123">
          <cell r="D123" t="str">
            <v>심화 베트남어</v>
          </cell>
          <cell r="E123">
            <v>4</v>
          </cell>
        </row>
        <row r="124">
          <cell r="D124" t="str">
            <v>한문 고전 읽기</v>
          </cell>
          <cell r="E124">
            <v>4</v>
          </cell>
        </row>
        <row r="125">
          <cell r="D125" t="str">
            <v>인간과 철학</v>
          </cell>
          <cell r="E125">
            <v>3</v>
          </cell>
        </row>
        <row r="126">
          <cell r="D126" t="str">
            <v xml:space="preserve">논리와 사고 </v>
          </cell>
          <cell r="E126">
            <v>3</v>
          </cell>
        </row>
        <row r="127">
          <cell r="D127" t="str">
            <v>인간과 심리</v>
          </cell>
          <cell r="E127">
            <v>3</v>
          </cell>
        </row>
        <row r="128">
          <cell r="D128" t="str">
            <v xml:space="preserve">교육의 이해 </v>
          </cell>
          <cell r="E128">
            <v>3</v>
          </cell>
        </row>
        <row r="129">
          <cell r="D129" t="str">
            <v>삶과 종교</v>
          </cell>
          <cell r="E129">
            <v>3</v>
          </cell>
        </row>
        <row r="130">
          <cell r="D130" t="str">
            <v>보건</v>
          </cell>
          <cell r="E130">
            <v>3</v>
          </cell>
        </row>
        <row r="131">
          <cell r="D131" t="str">
            <v>독서 토론과 글쓰기</v>
          </cell>
          <cell r="E131">
            <v>4</v>
          </cell>
        </row>
        <row r="132">
          <cell r="D132" t="str">
            <v xml:space="preserve">매체 의사소통 </v>
          </cell>
          <cell r="E132">
            <v>4</v>
          </cell>
        </row>
        <row r="133">
          <cell r="D133" t="str">
            <v>언어생활 탐구</v>
          </cell>
          <cell r="E133">
            <v>4</v>
          </cell>
        </row>
        <row r="134">
          <cell r="D134" t="str">
            <v xml:space="preserve">수학과 문화 </v>
          </cell>
          <cell r="E134">
            <v>4</v>
          </cell>
        </row>
        <row r="135">
          <cell r="D135" t="str">
            <v>실용 통계</v>
          </cell>
          <cell r="E135">
            <v>4</v>
          </cell>
        </row>
        <row r="136">
          <cell r="D136" t="str">
            <v>수학과제 탐구</v>
          </cell>
          <cell r="E136">
            <v>4</v>
          </cell>
        </row>
        <row r="137">
          <cell r="D137" t="str">
            <v xml:space="preserve">실생활 영어 회화 </v>
          </cell>
          <cell r="E137">
            <v>4</v>
          </cell>
        </row>
        <row r="138">
          <cell r="D138" t="str">
            <v xml:space="preserve">미디어 영어 </v>
          </cell>
          <cell r="E138">
            <v>4</v>
          </cell>
        </row>
        <row r="139">
          <cell r="D139" t="str">
            <v>세계 문화와 영어</v>
          </cell>
          <cell r="E139">
            <v>4</v>
          </cell>
        </row>
        <row r="140">
          <cell r="D140" t="str">
            <v>여행지리</v>
          </cell>
          <cell r="E140">
            <v>4</v>
          </cell>
        </row>
        <row r="141">
          <cell r="D141" t="str">
            <v>역사로 탐구하는 현대 세계</v>
          </cell>
          <cell r="E141">
            <v>4</v>
          </cell>
        </row>
        <row r="142">
          <cell r="D142" t="str">
            <v>사회문제 탐구</v>
          </cell>
          <cell r="E142">
            <v>4</v>
          </cell>
        </row>
        <row r="143">
          <cell r="D143" t="str">
            <v>금융과 경제생활</v>
          </cell>
          <cell r="E143">
            <v>4</v>
          </cell>
        </row>
        <row r="144">
          <cell r="D144" t="str">
            <v>윤리문제 탐구</v>
          </cell>
          <cell r="E144">
            <v>4</v>
          </cell>
        </row>
        <row r="145">
          <cell r="D145" t="str">
            <v>기후변화와 지속가능한 세계</v>
          </cell>
          <cell r="E145">
            <v>4</v>
          </cell>
        </row>
        <row r="146">
          <cell r="D146" t="str">
            <v>과학의 역사와 문화</v>
          </cell>
          <cell r="E146">
            <v>4</v>
          </cell>
        </row>
        <row r="147">
          <cell r="D147" t="str">
            <v>기후변화와 환경생태</v>
          </cell>
          <cell r="E147">
            <v>4</v>
          </cell>
        </row>
        <row r="148">
          <cell r="D148" t="str">
            <v>융합과학 탐구</v>
          </cell>
          <cell r="E148">
            <v>4</v>
          </cell>
        </row>
        <row r="149">
          <cell r="D149" t="str">
            <v xml:space="preserve">스포츠 생활1 </v>
          </cell>
          <cell r="E149">
            <v>3</v>
          </cell>
        </row>
        <row r="150">
          <cell r="D150" t="str">
            <v xml:space="preserve">스포츠 생활2 </v>
          </cell>
          <cell r="E150">
            <v>3</v>
          </cell>
        </row>
        <row r="151">
          <cell r="D151" t="str">
            <v>음악과 미디어</v>
          </cell>
          <cell r="E151">
            <v>3</v>
          </cell>
        </row>
        <row r="152">
          <cell r="D152" t="str">
            <v>미술과 매체</v>
          </cell>
          <cell r="E152">
            <v>3</v>
          </cell>
        </row>
        <row r="153">
          <cell r="D153" t="str">
            <v>창의 공학 설계</v>
          </cell>
          <cell r="E153">
            <v>4</v>
          </cell>
        </row>
        <row r="154">
          <cell r="D154" t="str">
            <v>지식 재산 일반</v>
          </cell>
          <cell r="E154">
            <v>4</v>
          </cell>
        </row>
        <row r="155">
          <cell r="D155" t="str">
            <v xml:space="preserve">생애 설계와 자립 </v>
          </cell>
          <cell r="E155">
            <v>2</v>
          </cell>
        </row>
        <row r="156">
          <cell r="D156" t="str">
            <v>아동발달과 부모</v>
          </cell>
          <cell r="E156">
            <v>4</v>
          </cell>
        </row>
        <row r="157">
          <cell r="D157" t="str">
            <v>소프트웨어와 생활</v>
          </cell>
          <cell r="E157">
            <v>4</v>
          </cell>
        </row>
        <row r="158">
          <cell r="D158" t="str">
            <v>독일어권 문화</v>
          </cell>
          <cell r="E158">
            <v>4</v>
          </cell>
        </row>
        <row r="159">
          <cell r="D159" t="str">
            <v>프랑스어권 문화</v>
          </cell>
          <cell r="E159">
            <v>4</v>
          </cell>
        </row>
        <row r="160">
          <cell r="D160" t="str">
            <v>스페인어권 문화</v>
          </cell>
          <cell r="E160">
            <v>4</v>
          </cell>
        </row>
        <row r="161">
          <cell r="D161" t="str">
            <v xml:space="preserve">중국 문화 </v>
          </cell>
          <cell r="E161">
            <v>4</v>
          </cell>
        </row>
        <row r="162">
          <cell r="D162" t="str">
            <v>일본 문화</v>
          </cell>
          <cell r="E162">
            <v>4</v>
          </cell>
        </row>
        <row r="163">
          <cell r="D163" t="str">
            <v xml:space="preserve">러시아 문화 </v>
          </cell>
          <cell r="E163">
            <v>4</v>
          </cell>
        </row>
        <row r="164">
          <cell r="D164" t="str">
            <v>아랍 문화</v>
          </cell>
          <cell r="E164">
            <v>4</v>
          </cell>
        </row>
        <row r="165">
          <cell r="D165" t="str">
            <v>베트남 문화</v>
          </cell>
          <cell r="E165">
            <v>4</v>
          </cell>
        </row>
        <row r="166">
          <cell r="D166" t="str">
            <v>언어생활과 한자</v>
          </cell>
          <cell r="E166">
            <v>4</v>
          </cell>
        </row>
        <row r="167">
          <cell r="D167" t="str">
            <v xml:space="preserve">인간과 경제활동 </v>
          </cell>
          <cell r="E167">
            <v>3</v>
          </cell>
        </row>
        <row r="168">
          <cell r="D168" t="str">
            <v>논술</v>
          </cell>
          <cell r="E168">
            <v>3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3_4" displayName="표3_4" ref="E7:H116" headerRowCount="0" totalsRowShown="0" headerRowDxfId="16" dataDxfId="15" tableBorderDxfId="14">
  <tableColumns count="4">
    <tableColumn id="1" xr3:uid="{00000000-0010-0000-0000-000001000000}" name="기준_x000a_학점" headerRowDxfId="13" dataDxfId="12">
      <calculatedColumnFormula>IFERROR(VLOOKUP(D7, 기본학점, 2, FALSE), "")</calculatedColumnFormula>
    </tableColumn>
    <tableColumn id="2" xr3:uid="{00000000-0010-0000-0000-000002000000}" name="운영_x000a_학점" headerRowDxfId="11" dataDxfId="10"/>
    <tableColumn id="3" xr3:uid="{00000000-0010-0000-0000-000003000000}" name="세로 막대형1" headerRowDxfId="9" dataDxfId="8"/>
    <tableColumn id="4" xr3:uid="{00000000-0010-0000-0000-000004000000}" name="세로 막대형2" headerRowDxfId="7" dataDxfId="6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30"/>
  <sheetViews>
    <sheetView tabSelected="1" zoomScale="115" zoomScaleNormal="115" zoomScaleSheetLayoutView="100" workbookViewId="0">
      <selection activeCell="H11" sqref="H11"/>
    </sheetView>
  </sheetViews>
  <sheetFormatPr defaultRowHeight="14.15" x14ac:dyDescent="0.3"/>
  <cols>
    <col min="1" max="1" width="4.3984375" style="200" customWidth="1"/>
    <col min="2" max="2" width="13" style="201" customWidth="1"/>
    <col min="3" max="3" width="7.59765625" style="201" customWidth="1"/>
    <col min="4" max="4" width="22" style="201" customWidth="1"/>
    <col min="5" max="12" width="5.796875" style="201" customWidth="1"/>
    <col min="13" max="14" width="13.6640625" style="201" customWidth="1"/>
    <col min="15" max="16" width="5.796875" style="201" customWidth="1"/>
    <col min="17" max="17" width="6" customWidth="1"/>
    <col min="247" max="247" width="3.59765625" customWidth="1"/>
    <col min="248" max="250" width="5.796875" customWidth="1"/>
    <col min="251" max="251" width="11.06640625" customWidth="1"/>
    <col min="252" max="259" width="5.796875" customWidth="1"/>
    <col min="260" max="260" width="7.06640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6640625" customWidth="1"/>
    <col min="508" max="515" width="5.796875" customWidth="1"/>
    <col min="516" max="516" width="7.06640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6640625" customWidth="1"/>
    <col min="764" max="771" width="5.796875" customWidth="1"/>
    <col min="772" max="772" width="7.06640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6640625" customWidth="1"/>
    <col min="1020" max="1027" width="5.796875" customWidth="1"/>
    <col min="1028" max="1028" width="7.06640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6640625" customWidth="1"/>
    <col min="1276" max="1283" width="5.796875" customWidth="1"/>
    <col min="1284" max="1284" width="7.06640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6640625" customWidth="1"/>
    <col min="1532" max="1539" width="5.796875" customWidth="1"/>
    <col min="1540" max="1540" width="7.06640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6640625" customWidth="1"/>
    <col min="1788" max="1795" width="5.796875" customWidth="1"/>
    <col min="1796" max="1796" width="7.06640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6640625" customWidth="1"/>
    <col min="2044" max="2051" width="5.796875" customWidth="1"/>
    <col min="2052" max="2052" width="7.06640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6640625" customWidth="1"/>
    <col min="2300" max="2307" width="5.796875" customWidth="1"/>
    <col min="2308" max="2308" width="7.06640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6640625" customWidth="1"/>
    <col min="2556" max="2563" width="5.796875" customWidth="1"/>
    <col min="2564" max="2564" width="7.06640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6640625" customWidth="1"/>
    <col min="2812" max="2819" width="5.796875" customWidth="1"/>
    <col min="2820" max="2820" width="7.06640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6640625" customWidth="1"/>
    <col min="3068" max="3075" width="5.796875" customWidth="1"/>
    <col min="3076" max="3076" width="7.06640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6640625" customWidth="1"/>
    <col min="3324" max="3331" width="5.796875" customWidth="1"/>
    <col min="3332" max="3332" width="7.06640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6640625" customWidth="1"/>
    <col min="3580" max="3587" width="5.796875" customWidth="1"/>
    <col min="3588" max="3588" width="7.06640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6640625" customWidth="1"/>
    <col min="3836" max="3843" width="5.796875" customWidth="1"/>
    <col min="3844" max="3844" width="7.06640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6640625" customWidth="1"/>
    <col min="4092" max="4099" width="5.796875" customWidth="1"/>
    <col min="4100" max="4100" width="7.06640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6640625" customWidth="1"/>
    <col min="4348" max="4355" width="5.796875" customWidth="1"/>
    <col min="4356" max="4356" width="7.06640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6640625" customWidth="1"/>
    <col min="4604" max="4611" width="5.796875" customWidth="1"/>
    <col min="4612" max="4612" width="7.06640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6640625" customWidth="1"/>
    <col min="4860" max="4867" width="5.796875" customWidth="1"/>
    <col min="4868" max="4868" width="7.06640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6640625" customWidth="1"/>
    <col min="5116" max="5123" width="5.796875" customWidth="1"/>
    <col min="5124" max="5124" width="7.06640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6640625" customWidth="1"/>
    <col min="5372" max="5379" width="5.796875" customWidth="1"/>
    <col min="5380" max="5380" width="7.06640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6640625" customWidth="1"/>
    <col min="5628" max="5635" width="5.796875" customWidth="1"/>
    <col min="5636" max="5636" width="7.06640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6640625" customWidth="1"/>
    <col min="5884" max="5891" width="5.796875" customWidth="1"/>
    <col min="5892" max="5892" width="7.06640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6640625" customWidth="1"/>
    <col min="6140" max="6147" width="5.796875" customWidth="1"/>
    <col min="6148" max="6148" width="7.06640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6640625" customWidth="1"/>
    <col min="6396" max="6403" width="5.796875" customWidth="1"/>
    <col min="6404" max="6404" width="7.06640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6640625" customWidth="1"/>
    <col min="6652" max="6659" width="5.796875" customWidth="1"/>
    <col min="6660" max="6660" width="7.06640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6640625" customWidth="1"/>
    <col min="6908" max="6915" width="5.796875" customWidth="1"/>
    <col min="6916" max="6916" width="7.06640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6640625" customWidth="1"/>
    <col min="7164" max="7171" width="5.796875" customWidth="1"/>
    <col min="7172" max="7172" width="7.06640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6640625" customWidth="1"/>
    <col min="7420" max="7427" width="5.796875" customWidth="1"/>
    <col min="7428" max="7428" width="7.06640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6640625" customWidth="1"/>
    <col min="7676" max="7683" width="5.796875" customWidth="1"/>
    <col min="7684" max="7684" width="7.06640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6640625" customWidth="1"/>
    <col min="7932" max="7939" width="5.796875" customWidth="1"/>
    <col min="7940" max="7940" width="7.06640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6640625" customWidth="1"/>
    <col min="8188" max="8195" width="5.796875" customWidth="1"/>
    <col min="8196" max="8196" width="7.06640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6640625" customWidth="1"/>
    <col min="8444" max="8451" width="5.796875" customWidth="1"/>
    <col min="8452" max="8452" width="7.06640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6640625" customWidth="1"/>
    <col min="8700" max="8707" width="5.796875" customWidth="1"/>
    <col min="8708" max="8708" width="7.06640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6640625" customWidth="1"/>
    <col min="8956" max="8963" width="5.796875" customWidth="1"/>
    <col min="8964" max="8964" width="7.06640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6640625" customWidth="1"/>
    <col min="9212" max="9219" width="5.796875" customWidth="1"/>
    <col min="9220" max="9220" width="7.06640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6640625" customWidth="1"/>
    <col min="9468" max="9475" width="5.796875" customWidth="1"/>
    <col min="9476" max="9476" width="7.06640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6640625" customWidth="1"/>
    <col min="9724" max="9731" width="5.796875" customWidth="1"/>
    <col min="9732" max="9732" width="7.06640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6640625" customWidth="1"/>
    <col min="9980" max="9987" width="5.796875" customWidth="1"/>
    <col min="9988" max="9988" width="7.06640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6640625" customWidth="1"/>
    <col min="10236" max="10243" width="5.796875" customWidth="1"/>
    <col min="10244" max="10244" width="7.06640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6640625" customWidth="1"/>
    <col min="10492" max="10499" width="5.796875" customWidth="1"/>
    <col min="10500" max="10500" width="7.06640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6640625" customWidth="1"/>
    <col min="10748" max="10755" width="5.796875" customWidth="1"/>
    <col min="10756" max="10756" width="7.06640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6640625" customWidth="1"/>
    <col min="11004" max="11011" width="5.796875" customWidth="1"/>
    <col min="11012" max="11012" width="7.06640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6640625" customWidth="1"/>
    <col min="11260" max="11267" width="5.796875" customWidth="1"/>
    <col min="11268" max="11268" width="7.06640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6640625" customWidth="1"/>
    <col min="11516" max="11523" width="5.796875" customWidth="1"/>
    <col min="11524" max="11524" width="7.06640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6640625" customWidth="1"/>
    <col min="11772" max="11779" width="5.796875" customWidth="1"/>
    <col min="11780" max="11780" width="7.06640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6640625" customWidth="1"/>
    <col min="12028" max="12035" width="5.796875" customWidth="1"/>
    <col min="12036" max="12036" width="7.06640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6640625" customWidth="1"/>
    <col min="12284" max="12291" width="5.796875" customWidth="1"/>
    <col min="12292" max="12292" width="7.06640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6640625" customWidth="1"/>
    <col min="12540" max="12547" width="5.796875" customWidth="1"/>
    <col min="12548" max="12548" width="7.06640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6640625" customWidth="1"/>
    <col min="12796" max="12803" width="5.796875" customWidth="1"/>
    <col min="12804" max="12804" width="7.06640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6640625" customWidth="1"/>
    <col min="13052" max="13059" width="5.796875" customWidth="1"/>
    <col min="13060" max="13060" width="7.06640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6640625" customWidth="1"/>
    <col min="13308" max="13315" width="5.796875" customWidth="1"/>
    <col min="13316" max="13316" width="7.06640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6640625" customWidth="1"/>
    <col min="13564" max="13571" width="5.796875" customWidth="1"/>
    <col min="13572" max="13572" width="7.06640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6640625" customWidth="1"/>
    <col min="13820" max="13827" width="5.796875" customWidth="1"/>
    <col min="13828" max="13828" width="7.06640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6640625" customWidth="1"/>
    <col min="14076" max="14083" width="5.796875" customWidth="1"/>
    <col min="14084" max="14084" width="7.06640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6640625" customWidth="1"/>
    <col min="14332" max="14339" width="5.796875" customWidth="1"/>
    <col min="14340" max="14340" width="7.06640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6640625" customWidth="1"/>
    <col min="14588" max="14595" width="5.796875" customWidth="1"/>
    <col min="14596" max="14596" width="7.06640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6640625" customWidth="1"/>
    <col min="14844" max="14851" width="5.796875" customWidth="1"/>
    <col min="14852" max="14852" width="7.06640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6640625" customWidth="1"/>
    <col min="15100" max="15107" width="5.796875" customWidth="1"/>
    <col min="15108" max="15108" width="7.06640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6640625" customWidth="1"/>
    <col min="15356" max="15363" width="5.796875" customWidth="1"/>
    <col min="15364" max="15364" width="7.06640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6640625" customWidth="1"/>
    <col min="15612" max="15619" width="5.796875" customWidth="1"/>
    <col min="15620" max="15620" width="7.06640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6640625" customWidth="1"/>
    <col min="15868" max="15875" width="5.796875" customWidth="1"/>
    <col min="15876" max="15876" width="7.06640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6640625" customWidth="1"/>
    <col min="16124" max="16131" width="5.796875" customWidth="1"/>
    <col min="16132" max="16132" width="7.06640625" customWidth="1"/>
    <col min="16133" max="16134" width="5.796875" customWidth="1"/>
    <col min="16135" max="16135" width="6" customWidth="1"/>
  </cols>
  <sheetData>
    <row r="1" spans="1:16" ht="47.25" customHeight="1" x14ac:dyDescent="0.3">
      <c r="A1" s="253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 ht="29.25" customHeight="1" thickBot="1" x14ac:dyDescent="0.35">
      <c r="A2" s="227" t="s">
        <v>1</v>
      </c>
      <c r="B2" s="228"/>
      <c r="C2" s="228"/>
      <c r="D2" s="228"/>
      <c r="E2" s="9"/>
      <c r="F2" s="10"/>
      <c r="G2" s="11"/>
      <c r="H2" s="11"/>
      <c r="I2" s="11"/>
      <c r="J2" s="11"/>
      <c r="K2" s="235"/>
      <c r="L2" s="228"/>
      <c r="M2" s="228"/>
      <c r="N2" s="228"/>
      <c r="O2" s="228"/>
      <c r="P2" s="228"/>
    </row>
    <row r="3" spans="1:16" ht="16.5" customHeight="1" x14ac:dyDescent="0.3">
      <c r="A3" s="254" t="s">
        <v>2</v>
      </c>
      <c r="B3" s="239" t="s">
        <v>3</v>
      </c>
      <c r="C3" s="216" t="s">
        <v>4</v>
      </c>
      <c r="D3" s="216" t="s">
        <v>5</v>
      </c>
      <c r="E3" s="216" t="s">
        <v>6</v>
      </c>
      <c r="F3" s="216" t="s">
        <v>7</v>
      </c>
      <c r="G3" s="256" t="s">
        <v>8</v>
      </c>
      <c r="H3" s="257"/>
      <c r="I3" s="256" t="s">
        <v>9</v>
      </c>
      <c r="J3" s="257"/>
      <c r="K3" s="256" t="s">
        <v>10</v>
      </c>
      <c r="L3" s="257"/>
      <c r="M3" s="216" t="s">
        <v>11</v>
      </c>
      <c r="N3" s="264" t="s">
        <v>12</v>
      </c>
      <c r="O3" s="216" t="s">
        <v>13</v>
      </c>
      <c r="P3" s="232" t="s">
        <v>14</v>
      </c>
    </row>
    <row r="4" spans="1:16" ht="14.4" customHeight="1" x14ac:dyDescent="0.3">
      <c r="A4" s="205"/>
      <c r="B4" s="209"/>
      <c r="C4" s="217"/>
      <c r="D4" s="217"/>
      <c r="E4" s="217"/>
      <c r="F4" s="217"/>
      <c r="G4" s="262" t="s">
        <v>15</v>
      </c>
      <c r="H4" s="214" t="s">
        <v>16</v>
      </c>
      <c r="I4" s="262" t="s">
        <v>15</v>
      </c>
      <c r="J4" s="214" t="s">
        <v>16</v>
      </c>
      <c r="K4" s="262" t="s">
        <v>15</v>
      </c>
      <c r="L4" s="214" t="s">
        <v>16</v>
      </c>
      <c r="M4" s="217"/>
      <c r="N4" s="213"/>
      <c r="O4" s="217"/>
      <c r="P4" s="226"/>
    </row>
    <row r="5" spans="1:16" ht="14.4" customHeight="1" thickBot="1" x14ac:dyDescent="0.35">
      <c r="A5" s="255"/>
      <c r="B5" s="240"/>
      <c r="C5" s="218"/>
      <c r="D5" s="218"/>
      <c r="E5" s="218"/>
      <c r="F5" s="218"/>
      <c r="G5" s="263"/>
      <c r="H5" s="215"/>
      <c r="I5" s="263"/>
      <c r="J5" s="215"/>
      <c r="K5" s="263"/>
      <c r="L5" s="215"/>
      <c r="M5" s="218"/>
      <c r="N5" s="265"/>
      <c r="O5" s="218"/>
      <c r="P5" s="233"/>
    </row>
    <row r="6" spans="1:16" ht="14.4" hidden="1" customHeight="1" thickBot="1" x14ac:dyDescent="0.35">
      <c r="A6" s="12"/>
      <c r="B6" s="13"/>
      <c r="C6" s="14"/>
      <c r="D6" s="15"/>
      <c r="G6" s="16"/>
      <c r="H6" s="17"/>
      <c r="I6" s="18"/>
      <c r="J6" s="17"/>
      <c r="K6" s="18"/>
      <c r="L6" s="19"/>
      <c r="M6" s="20"/>
      <c r="N6" s="21"/>
      <c r="O6" s="22"/>
      <c r="P6" s="23"/>
    </row>
    <row r="7" spans="1:16" ht="15.65" customHeight="1" x14ac:dyDescent="0.3">
      <c r="A7" s="204" t="s">
        <v>17</v>
      </c>
      <c r="B7" s="267" t="s">
        <v>18</v>
      </c>
      <c r="C7" s="24" t="s">
        <v>19</v>
      </c>
      <c r="D7" s="25" t="s">
        <v>20</v>
      </c>
      <c r="E7" s="26">
        <f t="shared" ref="E7:E34" si="0">IFERROR(VLOOKUP(D7, 기본학점, 2, FALSE), "")</f>
        <v>4</v>
      </c>
      <c r="F7" s="27">
        <v>4</v>
      </c>
      <c r="G7" s="28">
        <v>4</v>
      </c>
      <c r="H7" s="29"/>
      <c r="I7" s="30"/>
      <c r="J7" s="31"/>
      <c r="K7" s="30"/>
      <c r="L7" s="32"/>
      <c r="M7" s="33"/>
      <c r="N7" s="34"/>
      <c r="O7" s="224">
        <f>SUM(F7:F11)</f>
        <v>20</v>
      </c>
      <c r="P7" s="258">
        <v>8</v>
      </c>
    </row>
    <row r="8" spans="1:16" ht="15.65" customHeight="1" x14ac:dyDescent="0.3">
      <c r="A8" s="205"/>
      <c r="B8" s="209"/>
      <c r="C8" s="35" t="s">
        <v>19</v>
      </c>
      <c r="D8" s="36" t="s">
        <v>21</v>
      </c>
      <c r="E8" s="37">
        <f t="shared" si="0"/>
        <v>4</v>
      </c>
      <c r="F8" s="38">
        <v>4</v>
      </c>
      <c r="G8" s="39"/>
      <c r="H8" s="40">
        <v>4</v>
      </c>
      <c r="I8" s="41"/>
      <c r="J8" s="42"/>
      <c r="K8" s="41"/>
      <c r="L8" s="43"/>
      <c r="M8" s="44"/>
      <c r="N8" s="34"/>
      <c r="O8" s="217"/>
      <c r="P8" s="226"/>
    </row>
    <row r="9" spans="1:16" ht="15.65" customHeight="1" x14ac:dyDescent="0.3">
      <c r="A9" s="205"/>
      <c r="B9" s="209"/>
      <c r="C9" s="35" t="s">
        <v>22</v>
      </c>
      <c r="D9" s="36" t="s">
        <v>23</v>
      </c>
      <c r="E9" s="37">
        <f t="shared" si="0"/>
        <v>4</v>
      </c>
      <c r="F9" s="38">
        <v>4</v>
      </c>
      <c r="G9" s="39"/>
      <c r="H9" s="40"/>
      <c r="I9" s="41">
        <v>4</v>
      </c>
      <c r="J9" s="42"/>
      <c r="K9" s="41"/>
      <c r="L9" s="43"/>
      <c r="M9" s="44"/>
      <c r="N9" s="34"/>
      <c r="O9" s="217"/>
      <c r="P9" s="226"/>
    </row>
    <row r="10" spans="1:16" ht="15.65" customHeight="1" x14ac:dyDescent="0.3">
      <c r="A10" s="205"/>
      <c r="B10" s="209"/>
      <c r="C10" s="35" t="s">
        <v>22</v>
      </c>
      <c r="D10" s="36" t="s">
        <v>24</v>
      </c>
      <c r="E10" s="37">
        <f t="shared" si="0"/>
        <v>4</v>
      </c>
      <c r="F10" s="38">
        <v>4</v>
      </c>
      <c r="G10" s="39"/>
      <c r="H10" s="40"/>
      <c r="I10" s="41"/>
      <c r="J10" s="42">
        <v>4</v>
      </c>
      <c r="K10" s="41"/>
      <c r="L10" s="43"/>
      <c r="M10" s="44"/>
      <c r="N10" s="34"/>
      <c r="O10" s="217"/>
      <c r="P10" s="226"/>
    </row>
    <row r="11" spans="1:16" ht="15.65" customHeight="1" x14ac:dyDescent="0.3">
      <c r="A11" s="205"/>
      <c r="B11" s="209"/>
      <c r="C11" s="45" t="s">
        <v>22</v>
      </c>
      <c r="D11" s="36" t="s">
        <v>25</v>
      </c>
      <c r="E11" s="37">
        <f t="shared" si="0"/>
        <v>4</v>
      </c>
      <c r="F11" s="38">
        <v>4</v>
      </c>
      <c r="G11" s="39"/>
      <c r="H11" s="40"/>
      <c r="I11" s="41"/>
      <c r="J11" s="42"/>
      <c r="K11" s="41">
        <v>4</v>
      </c>
      <c r="L11" s="43"/>
      <c r="M11" s="44"/>
      <c r="N11" s="34"/>
      <c r="O11" s="217"/>
      <c r="P11" s="226"/>
    </row>
    <row r="12" spans="1:16" ht="15.65" customHeight="1" x14ac:dyDescent="0.3">
      <c r="A12" s="205"/>
      <c r="B12" s="208" t="s">
        <v>26</v>
      </c>
      <c r="C12" s="46" t="s">
        <v>19</v>
      </c>
      <c r="D12" s="47" t="s">
        <v>27</v>
      </c>
      <c r="E12" s="48">
        <f t="shared" si="0"/>
        <v>4</v>
      </c>
      <c r="F12" s="49">
        <v>4</v>
      </c>
      <c r="G12" s="50">
        <v>4</v>
      </c>
      <c r="H12" s="51"/>
      <c r="I12" s="52"/>
      <c r="J12" s="53"/>
      <c r="K12" s="50"/>
      <c r="L12" s="51"/>
      <c r="M12" s="54"/>
      <c r="N12" s="55"/>
      <c r="O12" s="230">
        <f>SUM(F12:F16)</f>
        <v>20</v>
      </c>
      <c r="P12" s="225">
        <v>8</v>
      </c>
    </row>
    <row r="13" spans="1:16" ht="15.65" customHeight="1" x14ac:dyDescent="0.3">
      <c r="A13" s="205"/>
      <c r="B13" s="209"/>
      <c r="C13" s="45" t="s">
        <v>19</v>
      </c>
      <c r="D13" s="36" t="s">
        <v>28</v>
      </c>
      <c r="E13" s="37">
        <f t="shared" si="0"/>
        <v>4</v>
      </c>
      <c r="F13" s="56">
        <v>4</v>
      </c>
      <c r="G13" s="57"/>
      <c r="H13" s="40">
        <v>4</v>
      </c>
      <c r="I13" s="41"/>
      <c r="J13" s="42"/>
      <c r="K13" s="57"/>
      <c r="L13" s="40"/>
      <c r="M13" s="44"/>
      <c r="N13" s="34"/>
      <c r="O13" s="217"/>
      <c r="P13" s="226"/>
    </row>
    <row r="14" spans="1:16" ht="15.65" customHeight="1" x14ac:dyDescent="0.3">
      <c r="A14" s="205"/>
      <c r="B14" s="209"/>
      <c r="C14" s="45" t="s">
        <v>22</v>
      </c>
      <c r="D14" s="36" t="s">
        <v>29</v>
      </c>
      <c r="E14" s="37">
        <f t="shared" si="0"/>
        <v>4</v>
      </c>
      <c r="F14" s="38">
        <v>4</v>
      </c>
      <c r="G14" s="57"/>
      <c r="H14" s="40"/>
      <c r="I14" s="41">
        <v>4</v>
      </c>
      <c r="J14" s="42"/>
      <c r="K14" s="57"/>
      <c r="L14" s="40"/>
      <c r="M14" s="44"/>
      <c r="N14" s="34"/>
      <c r="O14" s="217"/>
      <c r="P14" s="226"/>
    </row>
    <row r="15" spans="1:16" ht="15.65" customHeight="1" x14ac:dyDescent="0.3">
      <c r="A15" s="205"/>
      <c r="B15" s="209"/>
      <c r="C15" s="45" t="s">
        <v>22</v>
      </c>
      <c r="D15" s="36" t="s">
        <v>30</v>
      </c>
      <c r="E15" s="37">
        <f t="shared" si="0"/>
        <v>4</v>
      </c>
      <c r="F15" s="38">
        <v>4</v>
      </c>
      <c r="G15" s="57"/>
      <c r="H15" s="40"/>
      <c r="I15" s="41"/>
      <c r="J15" s="42">
        <v>4</v>
      </c>
      <c r="K15" s="57"/>
      <c r="L15" s="40"/>
      <c r="M15" s="44"/>
      <c r="N15" s="34"/>
      <c r="O15" s="217"/>
      <c r="P15" s="226"/>
    </row>
    <row r="16" spans="1:16" ht="15.65" customHeight="1" x14ac:dyDescent="0.3">
      <c r="A16" s="205"/>
      <c r="B16" s="209"/>
      <c r="C16" s="45" t="s">
        <v>22</v>
      </c>
      <c r="D16" s="36" t="s">
        <v>31</v>
      </c>
      <c r="E16" s="37">
        <f t="shared" si="0"/>
        <v>4</v>
      </c>
      <c r="F16" s="38">
        <v>4</v>
      </c>
      <c r="G16" s="57"/>
      <c r="H16" s="40"/>
      <c r="I16" s="41"/>
      <c r="J16" s="42"/>
      <c r="K16" s="41">
        <v>4</v>
      </c>
      <c r="L16" s="42"/>
      <c r="M16" s="44"/>
      <c r="N16" s="34"/>
      <c r="O16" s="231"/>
      <c r="P16" s="226"/>
    </row>
    <row r="17" spans="1:20" ht="15.65" customHeight="1" x14ac:dyDescent="0.3">
      <c r="A17" s="205"/>
      <c r="B17" s="208" t="s">
        <v>32</v>
      </c>
      <c r="C17" s="46" t="s">
        <v>19</v>
      </c>
      <c r="D17" s="47" t="s">
        <v>33</v>
      </c>
      <c r="E17" s="48">
        <f t="shared" si="0"/>
        <v>4</v>
      </c>
      <c r="F17" s="58">
        <v>3</v>
      </c>
      <c r="G17" s="59">
        <v>3</v>
      </c>
      <c r="H17" s="51"/>
      <c r="I17" s="52"/>
      <c r="J17" s="53"/>
      <c r="K17" s="52"/>
      <c r="L17" s="53"/>
      <c r="M17" s="54"/>
      <c r="N17" s="55"/>
      <c r="O17" s="212">
        <f>SUM(F17:F21)</f>
        <v>17</v>
      </c>
      <c r="P17" s="225">
        <v>8</v>
      </c>
    </row>
    <row r="18" spans="1:20" ht="15.65" customHeight="1" x14ac:dyDescent="0.3">
      <c r="A18" s="205"/>
      <c r="B18" s="209"/>
      <c r="C18" s="45" t="s">
        <v>19</v>
      </c>
      <c r="D18" s="36" t="s">
        <v>34</v>
      </c>
      <c r="E18" s="37">
        <f t="shared" si="0"/>
        <v>4</v>
      </c>
      <c r="F18" s="38">
        <v>3</v>
      </c>
      <c r="G18" s="39"/>
      <c r="H18" s="40">
        <v>3</v>
      </c>
      <c r="I18" s="41"/>
      <c r="J18" s="42"/>
      <c r="K18" s="41"/>
      <c r="L18" s="42"/>
      <c r="M18" s="44"/>
      <c r="N18" s="34"/>
      <c r="O18" s="213"/>
      <c r="P18" s="226"/>
    </row>
    <row r="19" spans="1:20" ht="15.65" customHeight="1" x14ac:dyDescent="0.3">
      <c r="A19" s="205"/>
      <c r="B19" s="209"/>
      <c r="C19" s="45" t="s">
        <v>22</v>
      </c>
      <c r="D19" s="36" t="s">
        <v>35</v>
      </c>
      <c r="E19" s="37">
        <f t="shared" si="0"/>
        <v>4</v>
      </c>
      <c r="F19" s="38">
        <v>4</v>
      </c>
      <c r="G19" s="39"/>
      <c r="H19" s="40"/>
      <c r="I19" s="41">
        <v>4</v>
      </c>
      <c r="J19" s="42"/>
      <c r="K19" s="41"/>
      <c r="L19" s="42"/>
      <c r="M19" s="44"/>
      <c r="N19" s="34"/>
      <c r="O19" s="213"/>
      <c r="P19" s="226"/>
    </row>
    <row r="20" spans="1:20" ht="15.65" customHeight="1" x14ac:dyDescent="0.3">
      <c r="A20" s="205"/>
      <c r="B20" s="209"/>
      <c r="C20" s="45" t="s">
        <v>22</v>
      </c>
      <c r="D20" s="36" t="s">
        <v>36</v>
      </c>
      <c r="E20" s="37">
        <f t="shared" si="0"/>
        <v>4</v>
      </c>
      <c r="F20" s="38">
        <v>4</v>
      </c>
      <c r="G20" s="39"/>
      <c r="H20" s="40"/>
      <c r="I20" s="41"/>
      <c r="J20" s="42">
        <v>4</v>
      </c>
      <c r="K20" s="41"/>
      <c r="L20" s="42"/>
      <c r="M20" s="44"/>
      <c r="N20" s="34"/>
      <c r="O20" s="213"/>
      <c r="P20" s="226"/>
    </row>
    <row r="21" spans="1:20" ht="15.65" customHeight="1" x14ac:dyDescent="0.3">
      <c r="A21" s="205"/>
      <c r="B21" s="209"/>
      <c r="C21" s="45" t="s">
        <v>22</v>
      </c>
      <c r="D21" s="36" t="s">
        <v>37</v>
      </c>
      <c r="E21" s="37">
        <f t="shared" si="0"/>
        <v>4</v>
      </c>
      <c r="F21" s="38">
        <v>3</v>
      </c>
      <c r="G21" s="39"/>
      <c r="H21" s="40"/>
      <c r="I21" s="41"/>
      <c r="J21" s="42"/>
      <c r="K21" s="41">
        <v>3</v>
      </c>
      <c r="L21" s="42"/>
      <c r="M21" s="44"/>
      <c r="N21" s="34"/>
      <c r="O21" s="213"/>
      <c r="P21" s="226"/>
    </row>
    <row r="22" spans="1:20" ht="15.65" customHeight="1" x14ac:dyDescent="0.3">
      <c r="A22" s="205"/>
      <c r="B22" s="208" t="s">
        <v>38</v>
      </c>
      <c r="C22" s="3" t="s">
        <v>19</v>
      </c>
      <c r="D22" s="47" t="s">
        <v>39</v>
      </c>
      <c r="E22" s="48">
        <f t="shared" si="0"/>
        <v>3</v>
      </c>
      <c r="F22" s="58">
        <v>3</v>
      </c>
      <c r="G22" s="59">
        <v>3</v>
      </c>
      <c r="H22" s="51"/>
      <c r="I22" s="52"/>
      <c r="J22" s="53"/>
      <c r="K22" s="52"/>
      <c r="L22" s="60"/>
      <c r="M22" s="54"/>
      <c r="N22" s="55"/>
      <c r="O22" s="241">
        <f>SUM(F22:F23)</f>
        <v>6</v>
      </c>
      <c r="P22" s="202">
        <v>6</v>
      </c>
    </row>
    <row r="23" spans="1:20" ht="15.65" customHeight="1" x14ac:dyDescent="0.3">
      <c r="A23" s="205"/>
      <c r="B23" s="209"/>
      <c r="C23" s="4" t="s">
        <v>19</v>
      </c>
      <c r="D23" s="61" t="s">
        <v>40</v>
      </c>
      <c r="E23" s="62">
        <f t="shared" si="0"/>
        <v>3</v>
      </c>
      <c r="F23" s="63">
        <v>3</v>
      </c>
      <c r="G23" s="64"/>
      <c r="H23" s="65">
        <v>3</v>
      </c>
      <c r="I23" s="66"/>
      <c r="J23" s="67"/>
      <c r="K23" s="66"/>
      <c r="L23" s="67"/>
      <c r="M23" s="61"/>
      <c r="N23" s="4"/>
      <c r="O23" s="242"/>
      <c r="P23" s="203"/>
    </row>
    <row r="24" spans="1:20" ht="15.65" customHeight="1" x14ac:dyDescent="0.3">
      <c r="A24" s="205"/>
      <c r="B24" s="209"/>
      <c r="C24" s="46" t="s">
        <v>19</v>
      </c>
      <c r="D24" s="47" t="s">
        <v>41</v>
      </c>
      <c r="E24" s="48">
        <f t="shared" si="0"/>
        <v>4</v>
      </c>
      <c r="F24" s="58">
        <v>4</v>
      </c>
      <c r="G24" s="59">
        <v>4</v>
      </c>
      <c r="H24" s="51"/>
      <c r="I24" s="52"/>
      <c r="J24" s="53"/>
      <c r="K24" s="52"/>
      <c r="L24" s="60"/>
      <c r="M24" s="54"/>
      <c r="N24" s="46"/>
      <c r="O24" s="212">
        <f>SUM(F24:F25)</f>
        <v>8</v>
      </c>
      <c r="P24" s="225">
        <v>8</v>
      </c>
    </row>
    <row r="25" spans="1:20" ht="15.65" customHeight="1" x14ac:dyDescent="0.3">
      <c r="A25" s="205"/>
      <c r="B25" s="209"/>
      <c r="C25" s="45" t="s">
        <v>19</v>
      </c>
      <c r="D25" s="36" t="s">
        <v>42</v>
      </c>
      <c r="E25" s="37">
        <f t="shared" si="0"/>
        <v>4</v>
      </c>
      <c r="F25" s="38">
        <v>4</v>
      </c>
      <c r="G25" s="39"/>
      <c r="H25" s="40">
        <v>4</v>
      </c>
      <c r="I25" s="41"/>
      <c r="J25" s="42"/>
      <c r="K25" s="41"/>
      <c r="L25" s="43"/>
      <c r="M25" s="44"/>
      <c r="N25" s="45"/>
      <c r="O25" s="213"/>
      <c r="P25" s="226"/>
    </row>
    <row r="26" spans="1:20" ht="15.65" customHeight="1" x14ac:dyDescent="0.3">
      <c r="A26" s="205"/>
      <c r="B26" s="208" t="s">
        <v>43</v>
      </c>
      <c r="C26" s="46" t="s">
        <v>19</v>
      </c>
      <c r="D26" s="47" t="s">
        <v>44</v>
      </c>
      <c r="E26" s="48">
        <f t="shared" si="0"/>
        <v>4</v>
      </c>
      <c r="F26" s="58">
        <v>4</v>
      </c>
      <c r="G26" s="59">
        <v>4</v>
      </c>
      <c r="H26" s="51"/>
      <c r="I26" s="52"/>
      <c r="J26" s="53"/>
      <c r="K26" s="68"/>
      <c r="L26" s="69"/>
      <c r="M26" s="54"/>
      <c r="N26" s="46"/>
      <c r="O26" s="212">
        <f>SUM(F26:F29)</f>
        <v>10</v>
      </c>
      <c r="P26" s="225">
        <v>10</v>
      </c>
    </row>
    <row r="27" spans="1:20" ht="15.65" customHeight="1" x14ac:dyDescent="0.3">
      <c r="A27" s="205"/>
      <c r="B27" s="209"/>
      <c r="C27" s="2" t="s">
        <v>19</v>
      </c>
      <c r="D27" s="36" t="s">
        <v>45</v>
      </c>
      <c r="E27" s="37">
        <f t="shared" si="0"/>
        <v>4</v>
      </c>
      <c r="F27" s="38">
        <v>4</v>
      </c>
      <c r="G27" s="39"/>
      <c r="H27" s="40">
        <v>4</v>
      </c>
      <c r="I27" s="41"/>
      <c r="J27" s="42"/>
      <c r="K27" s="70"/>
      <c r="L27" s="71"/>
      <c r="M27" s="44"/>
      <c r="N27" s="34"/>
      <c r="O27" s="213"/>
      <c r="P27" s="226"/>
    </row>
    <row r="28" spans="1:20" ht="15.65" customHeight="1" x14ac:dyDescent="0.3">
      <c r="A28" s="205"/>
      <c r="B28" s="209"/>
      <c r="C28" s="45" t="s">
        <v>19</v>
      </c>
      <c r="D28" s="36" t="s">
        <v>46</v>
      </c>
      <c r="E28" s="37">
        <f t="shared" si="0"/>
        <v>1</v>
      </c>
      <c r="F28" s="38">
        <v>1</v>
      </c>
      <c r="G28" s="39">
        <v>1</v>
      </c>
      <c r="H28" s="40"/>
      <c r="I28" s="41"/>
      <c r="J28" s="42"/>
      <c r="K28" s="70"/>
      <c r="L28" s="71"/>
      <c r="M28" s="44"/>
      <c r="N28" s="34"/>
      <c r="O28" s="213"/>
      <c r="P28" s="226"/>
    </row>
    <row r="29" spans="1:20" ht="15.65" customHeight="1" x14ac:dyDescent="0.3">
      <c r="A29" s="205"/>
      <c r="B29" s="209"/>
      <c r="C29" s="45" t="s">
        <v>19</v>
      </c>
      <c r="D29" s="36" t="s">
        <v>47</v>
      </c>
      <c r="E29" s="37">
        <f t="shared" si="0"/>
        <v>1</v>
      </c>
      <c r="F29" s="38">
        <v>1</v>
      </c>
      <c r="G29" s="39"/>
      <c r="H29" s="40">
        <v>1</v>
      </c>
      <c r="I29" s="41"/>
      <c r="J29" s="42"/>
      <c r="K29" s="70"/>
      <c r="L29" s="71"/>
      <c r="M29" s="44"/>
      <c r="N29" s="34"/>
      <c r="O29" s="213"/>
      <c r="P29" s="226"/>
    </row>
    <row r="30" spans="1:20" ht="15.65" customHeight="1" x14ac:dyDescent="0.3">
      <c r="A30" s="205"/>
      <c r="B30" s="208" t="s">
        <v>48</v>
      </c>
      <c r="C30" s="46" t="s">
        <v>22</v>
      </c>
      <c r="D30" s="47" t="s">
        <v>49</v>
      </c>
      <c r="E30" s="48">
        <f t="shared" si="0"/>
        <v>3</v>
      </c>
      <c r="F30" s="49">
        <v>2</v>
      </c>
      <c r="G30" s="50">
        <v>2</v>
      </c>
      <c r="H30" s="51"/>
      <c r="I30" s="52"/>
      <c r="J30" s="53"/>
      <c r="K30" s="52"/>
      <c r="L30" s="60"/>
      <c r="M30" s="54"/>
      <c r="N30" s="46"/>
      <c r="O30" s="212">
        <f>SUM(F30:F35)</f>
        <v>10</v>
      </c>
      <c r="P30" s="225">
        <v>10</v>
      </c>
      <c r="R30" s="72"/>
      <c r="S30" s="72"/>
      <c r="T30" s="72"/>
    </row>
    <row r="31" spans="1:20" ht="15.65" customHeight="1" x14ac:dyDescent="0.3">
      <c r="A31" s="205"/>
      <c r="B31" s="209"/>
      <c r="C31" s="45" t="s">
        <v>22</v>
      </c>
      <c r="D31" s="36" t="s">
        <v>50</v>
      </c>
      <c r="E31" s="37">
        <f t="shared" si="0"/>
        <v>3</v>
      </c>
      <c r="F31" s="38">
        <v>2</v>
      </c>
      <c r="G31" s="57"/>
      <c r="H31" s="40">
        <v>2</v>
      </c>
      <c r="I31" s="41"/>
      <c r="J31" s="42"/>
      <c r="K31" s="41"/>
      <c r="L31" s="43"/>
      <c r="M31" s="44"/>
      <c r="N31" s="34"/>
      <c r="O31" s="213"/>
      <c r="P31" s="226"/>
      <c r="R31" s="72"/>
      <c r="S31" s="72"/>
      <c r="T31" s="72"/>
    </row>
    <row r="32" spans="1:20" ht="15.65" customHeight="1" x14ac:dyDescent="0.3">
      <c r="A32" s="205"/>
      <c r="B32" s="209"/>
      <c r="C32" s="45" t="s">
        <v>51</v>
      </c>
      <c r="D32" s="36" t="s">
        <v>52</v>
      </c>
      <c r="E32" s="37">
        <f t="shared" si="0"/>
        <v>3</v>
      </c>
      <c r="F32" s="38">
        <v>2</v>
      </c>
      <c r="G32" s="57"/>
      <c r="H32" s="40"/>
      <c r="I32" s="41">
        <v>2</v>
      </c>
      <c r="J32" s="42"/>
      <c r="K32" s="41"/>
      <c r="L32" s="43"/>
      <c r="M32" s="44"/>
      <c r="N32" s="34"/>
      <c r="O32" s="213"/>
      <c r="P32" s="226"/>
      <c r="R32" s="72"/>
      <c r="S32" s="72"/>
      <c r="T32" s="72"/>
    </row>
    <row r="33" spans="1:20" ht="15.65" customHeight="1" x14ac:dyDescent="0.3">
      <c r="A33" s="205"/>
      <c r="B33" s="209"/>
      <c r="C33" s="45" t="s">
        <v>53</v>
      </c>
      <c r="D33" s="36" t="s">
        <v>54</v>
      </c>
      <c r="E33" s="37">
        <f t="shared" si="0"/>
        <v>2</v>
      </c>
      <c r="F33" s="38">
        <v>2</v>
      </c>
      <c r="G33" s="57"/>
      <c r="H33" s="40"/>
      <c r="I33" s="41"/>
      <c r="J33" s="42">
        <v>2</v>
      </c>
      <c r="K33" s="41"/>
      <c r="L33" s="43"/>
      <c r="M33" s="44"/>
      <c r="N33" s="34"/>
      <c r="O33" s="213"/>
      <c r="P33" s="226"/>
      <c r="R33" s="72"/>
      <c r="S33" s="72"/>
      <c r="T33" s="72"/>
    </row>
    <row r="34" spans="1:20" ht="15.65" customHeight="1" x14ac:dyDescent="0.3">
      <c r="A34" s="205"/>
      <c r="B34" s="209"/>
      <c r="C34" s="45" t="s">
        <v>53</v>
      </c>
      <c r="D34" s="36" t="s">
        <v>55</v>
      </c>
      <c r="E34" s="37">
        <f t="shared" si="0"/>
        <v>2</v>
      </c>
      <c r="F34" s="38">
        <v>1</v>
      </c>
      <c r="G34" s="57"/>
      <c r="H34" s="40"/>
      <c r="I34" s="41"/>
      <c r="J34" s="42"/>
      <c r="K34" s="41">
        <v>1</v>
      </c>
      <c r="L34" s="43"/>
      <c r="M34" s="44"/>
      <c r="N34" s="34"/>
      <c r="O34" s="213"/>
      <c r="P34" s="226"/>
      <c r="R34" s="72"/>
      <c r="S34" s="72"/>
      <c r="T34" s="72"/>
    </row>
    <row r="35" spans="1:20" ht="15.65" customHeight="1" x14ac:dyDescent="0.3">
      <c r="A35" s="205"/>
      <c r="B35" s="209"/>
      <c r="C35" s="45" t="s">
        <v>51</v>
      </c>
      <c r="D35" s="36" t="s">
        <v>56</v>
      </c>
      <c r="E35" s="37">
        <v>2</v>
      </c>
      <c r="F35" s="38">
        <v>1</v>
      </c>
      <c r="G35" s="39"/>
      <c r="H35" s="40"/>
      <c r="I35" s="41"/>
      <c r="J35" s="42"/>
      <c r="K35" s="41"/>
      <c r="L35" s="43">
        <v>1</v>
      </c>
      <c r="M35" s="73" t="s">
        <v>57</v>
      </c>
      <c r="N35" s="34"/>
      <c r="O35" s="213"/>
      <c r="P35" s="226"/>
      <c r="R35" s="72"/>
      <c r="S35" s="72"/>
      <c r="T35" s="72"/>
    </row>
    <row r="36" spans="1:20" ht="15.65" customHeight="1" x14ac:dyDescent="0.3">
      <c r="A36" s="205"/>
      <c r="B36" s="208" t="s">
        <v>58</v>
      </c>
      <c r="C36" s="46" t="s">
        <v>22</v>
      </c>
      <c r="D36" s="47" t="s">
        <v>59</v>
      </c>
      <c r="E36" s="48">
        <f t="shared" ref="E36:E67" si="1">IFERROR(VLOOKUP(D36, 기본학점, 2, FALSE), "")</f>
        <v>3</v>
      </c>
      <c r="F36" s="58">
        <v>2</v>
      </c>
      <c r="G36" s="50">
        <v>2</v>
      </c>
      <c r="H36" s="51" t="s">
        <v>60</v>
      </c>
      <c r="I36" s="52"/>
      <c r="J36" s="53"/>
      <c r="K36" s="52"/>
      <c r="L36" s="60"/>
      <c r="M36" s="54" t="s">
        <v>61</v>
      </c>
      <c r="N36" s="46"/>
      <c r="O36" s="212">
        <f>SUM(F36:F37)</f>
        <v>4</v>
      </c>
      <c r="P36" s="225">
        <v>10</v>
      </c>
      <c r="R36" s="72"/>
      <c r="S36" s="72"/>
      <c r="T36" s="72"/>
    </row>
    <row r="37" spans="1:20" ht="15.65" customHeight="1" x14ac:dyDescent="0.3">
      <c r="A37" s="205"/>
      <c r="B37" s="209"/>
      <c r="C37" s="45" t="s">
        <v>22</v>
      </c>
      <c r="D37" s="36" t="s">
        <v>62</v>
      </c>
      <c r="E37" s="37">
        <f t="shared" si="1"/>
        <v>3</v>
      </c>
      <c r="F37" s="38">
        <v>2</v>
      </c>
      <c r="G37" s="57" t="s">
        <v>60</v>
      </c>
      <c r="H37" s="40">
        <v>2</v>
      </c>
      <c r="I37" s="41"/>
      <c r="J37" s="42"/>
      <c r="K37" s="41"/>
      <c r="L37" s="43"/>
      <c r="M37" s="54" t="s">
        <v>61</v>
      </c>
      <c r="N37" s="34"/>
      <c r="O37" s="213"/>
      <c r="P37" s="226"/>
      <c r="R37" s="72"/>
      <c r="S37" s="72"/>
      <c r="T37" s="72"/>
    </row>
    <row r="38" spans="1:20" ht="15.65" customHeight="1" x14ac:dyDescent="0.3">
      <c r="A38" s="205"/>
      <c r="B38" s="208" t="s">
        <v>63</v>
      </c>
      <c r="C38" s="46" t="s">
        <v>22</v>
      </c>
      <c r="D38" s="47" t="s">
        <v>64</v>
      </c>
      <c r="E38" s="48">
        <f t="shared" si="1"/>
        <v>4</v>
      </c>
      <c r="F38" s="58">
        <v>3</v>
      </c>
      <c r="G38" s="59">
        <v>3</v>
      </c>
      <c r="H38" s="51" t="s">
        <v>65</v>
      </c>
      <c r="I38" s="52"/>
      <c r="J38" s="53"/>
      <c r="K38" s="52"/>
      <c r="L38" s="60"/>
      <c r="M38" s="54" t="s">
        <v>66</v>
      </c>
      <c r="N38" s="46"/>
      <c r="O38" s="230">
        <f>SUM(F38:F39)</f>
        <v>6</v>
      </c>
      <c r="P38" s="225">
        <v>16</v>
      </c>
      <c r="R38" s="72"/>
      <c r="S38" s="72"/>
      <c r="T38" s="72"/>
    </row>
    <row r="39" spans="1:20" ht="15.65" customHeight="1" x14ac:dyDescent="0.3">
      <c r="A39" s="205"/>
      <c r="B39" s="209"/>
      <c r="C39" s="45" t="s">
        <v>22</v>
      </c>
      <c r="D39" s="36" t="s">
        <v>67</v>
      </c>
      <c r="E39" s="37">
        <f t="shared" si="1"/>
        <v>4</v>
      </c>
      <c r="F39" s="56">
        <v>3</v>
      </c>
      <c r="G39" s="39" t="s">
        <v>65</v>
      </c>
      <c r="H39" s="40">
        <v>3</v>
      </c>
      <c r="I39" s="41"/>
      <c r="J39" s="42"/>
      <c r="K39" s="41"/>
      <c r="L39" s="43"/>
      <c r="M39" s="54" t="s">
        <v>66</v>
      </c>
      <c r="N39" s="45"/>
      <c r="O39" s="231"/>
      <c r="P39" s="226"/>
      <c r="R39" s="72"/>
      <c r="S39" s="72"/>
      <c r="T39" s="72"/>
    </row>
    <row r="40" spans="1:20" ht="15.65" customHeight="1" x14ac:dyDescent="0.3">
      <c r="A40" s="205"/>
      <c r="B40" s="208" t="s">
        <v>68</v>
      </c>
      <c r="C40" s="46" t="s">
        <v>53</v>
      </c>
      <c r="D40" s="47" t="s">
        <v>69</v>
      </c>
      <c r="E40" s="48">
        <f t="shared" si="1"/>
        <v>3</v>
      </c>
      <c r="F40" s="58">
        <v>2</v>
      </c>
      <c r="G40" s="50"/>
      <c r="H40" s="51"/>
      <c r="I40" s="52"/>
      <c r="J40" s="53"/>
      <c r="K40" s="52">
        <v>2</v>
      </c>
      <c r="L40" s="60"/>
      <c r="M40" s="54"/>
      <c r="N40" s="46"/>
      <c r="O40" s="219">
        <f>SUM(F40:F41)</f>
        <v>4</v>
      </c>
      <c r="P40" s="226"/>
      <c r="R40" s="72"/>
      <c r="S40" s="72"/>
      <c r="T40" s="72"/>
    </row>
    <row r="41" spans="1:20" ht="15.65" customHeight="1" thickBot="1" x14ac:dyDescent="0.35">
      <c r="A41" s="205"/>
      <c r="B41" s="209"/>
      <c r="C41" s="45" t="s">
        <v>22</v>
      </c>
      <c r="D41" s="36" t="s">
        <v>70</v>
      </c>
      <c r="E41" s="37">
        <f t="shared" si="1"/>
        <v>3</v>
      </c>
      <c r="F41" s="38">
        <v>2</v>
      </c>
      <c r="G41" s="57"/>
      <c r="H41" s="40"/>
      <c r="I41" s="41"/>
      <c r="J41" s="42"/>
      <c r="K41" s="41"/>
      <c r="L41" s="43">
        <v>2</v>
      </c>
      <c r="M41" s="44"/>
      <c r="N41" s="34"/>
      <c r="O41" s="217"/>
      <c r="P41" s="226"/>
      <c r="R41" s="72"/>
      <c r="S41" s="72"/>
      <c r="T41" s="72"/>
    </row>
    <row r="42" spans="1:20" ht="15.65" customHeight="1" x14ac:dyDescent="0.3">
      <c r="A42" s="204" t="s">
        <v>71</v>
      </c>
      <c r="B42" s="74" t="s">
        <v>18</v>
      </c>
      <c r="C42" s="75" t="s">
        <v>53</v>
      </c>
      <c r="D42" s="25" t="s">
        <v>72</v>
      </c>
      <c r="E42" s="76">
        <f t="shared" si="1"/>
        <v>4</v>
      </c>
      <c r="F42" s="77">
        <v>3</v>
      </c>
      <c r="G42" s="78"/>
      <c r="H42" s="79"/>
      <c r="I42" s="259" t="s">
        <v>73</v>
      </c>
      <c r="J42" s="80"/>
      <c r="K42" s="81"/>
      <c r="L42" s="82"/>
      <c r="M42" s="83"/>
      <c r="N42" s="84"/>
      <c r="O42" s="229">
        <v>30</v>
      </c>
      <c r="P42" s="234"/>
      <c r="R42" s="72"/>
      <c r="S42" s="72"/>
      <c r="T42" s="72"/>
    </row>
    <row r="43" spans="1:20" ht="15.65" customHeight="1" x14ac:dyDescent="0.3">
      <c r="A43" s="205"/>
      <c r="B43" s="85" t="s">
        <v>26</v>
      </c>
      <c r="C43" s="86" t="s">
        <v>53</v>
      </c>
      <c r="D43" s="47" t="s">
        <v>74</v>
      </c>
      <c r="E43" s="48">
        <f t="shared" si="1"/>
        <v>4</v>
      </c>
      <c r="F43" s="48">
        <v>3</v>
      </c>
      <c r="G43" s="87"/>
      <c r="H43" s="88"/>
      <c r="I43" s="260"/>
      <c r="J43" s="89"/>
      <c r="K43" s="90"/>
      <c r="L43" s="91"/>
      <c r="M43" s="92"/>
      <c r="N43" s="46"/>
      <c r="O43" s="217"/>
      <c r="P43" s="226"/>
      <c r="R43" s="72"/>
      <c r="S43" s="72"/>
      <c r="T43" s="72"/>
    </row>
    <row r="44" spans="1:20" ht="15.65" customHeight="1" x14ac:dyDescent="0.3">
      <c r="A44" s="205"/>
      <c r="B44" s="85" t="s">
        <v>32</v>
      </c>
      <c r="C44" s="86" t="s">
        <v>53</v>
      </c>
      <c r="D44" s="47" t="s">
        <v>75</v>
      </c>
      <c r="E44" s="48">
        <f t="shared" si="1"/>
        <v>4</v>
      </c>
      <c r="F44" s="50">
        <v>3</v>
      </c>
      <c r="G44" s="93"/>
      <c r="H44" s="88"/>
      <c r="I44" s="260"/>
      <c r="J44" s="89"/>
      <c r="K44" s="90"/>
      <c r="L44" s="91"/>
      <c r="M44" s="92"/>
      <c r="N44" s="46"/>
      <c r="O44" s="217"/>
      <c r="P44" s="226"/>
    </row>
    <row r="45" spans="1:20" ht="15.65" customHeight="1" x14ac:dyDescent="0.3">
      <c r="A45" s="205"/>
      <c r="B45" s="208" t="s">
        <v>38</v>
      </c>
      <c r="C45" s="86" t="s">
        <v>53</v>
      </c>
      <c r="D45" s="47" t="s">
        <v>76</v>
      </c>
      <c r="E45" s="48">
        <f t="shared" si="1"/>
        <v>4</v>
      </c>
      <c r="F45" s="50">
        <v>3</v>
      </c>
      <c r="G45" s="93"/>
      <c r="H45" s="94"/>
      <c r="I45" s="260"/>
      <c r="J45" s="95"/>
      <c r="K45" s="96"/>
      <c r="L45" s="97"/>
      <c r="M45" s="92"/>
      <c r="N45" s="55"/>
      <c r="O45" s="217"/>
      <c r="P45" s="226"/>
    </row>
    <row r="46" spans="1:20" ht="15.65" customHeight="1" x14ac:dyDescent="0.3">
      <c r="A46" s="205"/>
      <c r="B46" s="209"/>
      <c r="C46" s="98" t="s">
        <v>22</v>
      </c>
      <c r="D46" s="36" t="s">
        <v>77</v>
      </c>
      <c r="E46" s="37">
        <f t="shared" si="1"/>
        <v>4</v>
      </c>
      <c r="F46" s="57">
        <v>3</v>
      </c>
      <c r="G46" s="99"/>
      <c r="H46" s="100"/>
      <c r="I46" s="260"/>
      <c r="J46" s="101"/>
      <c r="K46" s="102"/>
      <c r="L46" s="103"/>
      <c r="M46" s="104"/>
      <c r="N46" s="34"/>
      <c r="O46" s="217"/>
      <c r="P46" s="226"/>
    </row>
    <row r="47" spans="1:20" ht="15.65" customHeight="1" x14ac:dyDescent="0.3">
      <c r="A47" s="205"/>
      <c r="B47" s="209"/>
      <c r="C47" s="98" t="s">
        <v>53</v>
      </c>
      <c r="D47" s="36" t="s">
        <v>78</v>
      </c>
      <c r="E47" s="37">
        <f t="shared" si="1"/>
        <v>4</v>
      </c>
      <c r="F47" s="57">
        <v>3</v>
      </c>
      <c r="G47" s="99"/>
      <c r="H47" s="100"/>
      <c r="I47" s="260"/>
      <c r="J47" s="101"/>
      <c r="K47" s="102"/>
      <c r="L47" s="103"/>
      <c r="M47" s="104"/>
      <c r="N47" s="34"/>
      <c r="O47" s="217"/>
      <c r="P47" s="226"/>
    </row>
    <row r="48" spans="1:20" ht="15.65" customHeight="1" x14ac:dyDescent="0.3">
      <c r="A48" s="205"/>
      <c r="B48" s="209"/>
      <c r="C48" s="98" t="s">
        <v>53</v>
      </c>
      <c r="D48" s="36" t="s">
        <v>79</v>
      </c>
      <c r="E48" s="37">
        <f t="shared" si="1"/>
        <v>4</v>
      </c>
      <c r="F48" s="57">
        <v>3</v>
      </c>
      <c r="G48" s="99"/>
      <c r="H48" s="100"/>
      <c r="I48" s="260"/>
      <c r="J48" s="101"/>
      <c r="K48" s="102"/>
      <c r="L48" s="103"/>
      <c r="M48" s="104"/>
      <c r="N48" s="34"/>
      <c r="O48" s="217"/>
      <c r="P48" s="226"/>
    </row>
    <row r="49" spans="1:20" ht="15.65" customHeight="1" x14ac:dyDescent="0.3">
      <c r="A49" s="205"/>
      <c r="B49" s="208" t="s">
        <v>43</v>
      </c>
      <c r="C49" s="86" t="s">
        <v>22</v>
      </c>
      <c r="D49" s="47" t="s">
        <v>80</v>
      </c>
      <c r="E49" s="48">
        <f t="shared" si="1"/>
        <v>4</v>
      </c>
      <c r="F49" s="50">
        <v>3</v>
      </c>
      <c r="G49" s="93"/>
      <c r="H49" s="94"/>
      <c r="I49" s="260"/>
      <c r="J49" s="105"/>
      <c r="K49" s="106"/>
      <c r="L49" s="107"/>
      <c r="M49" s="92"/>
      <c r="N49" s="55"/>
      <c r="O49" s="217"/>
      <c r="P49" s="226"/>
    </row>
    <row r="50" spans="1:20" ht="15.65" customHeight="1" x14ac:dyDescent="0.3">
      <c r="A50" s="205"/>
      <c r="B50" s="209"/>
      <c r="C50" s="98" t="s">
        <v>22</v>
      </c>
      <c r="D50" s="36" t="s">
        <v>81</v>
      </c>
      <c r="E50" s="37">
        <f t="shared" si="1"/>
        <v>4</v>
      </c>
      <c r="F50" s="57">
        <v>3</v>
      </c>
      <c r="G50" s="99"/>
      <c r="H50" s="100"/>
      <c r="I50" s="260"/>
      <c r="J50" s="108"/>
      <c r="K50" s="109"/>
      <c r="L50" s="110"/>
      <c r="M50" s="104"/>
      <c r="N50" s="34"/>
      <c r="O50" s="217"/>
      <c r="P50" s="226"/>
    </row>
    <row r="51" spans="1:20" ht="15.65" customHeight="1" x14ac:dyDescent="0.3">
      <c r="A51" s="205"/>
      <c r="B51" s="209"/>
      <c r="C51" s="98" t="s">
        <v>22</v>
      </c>
      <c r="D51" s="36" t="s">
        <v>82</v>
      </c>
      <c r="E51" s="37">
        <f t="shared" si="1"/>
        <v>4</v>
      </c>
      <c r="F51" s="57">
        <v>3</v>
      </c>
      <c r="G51" s="99"/>
      <c r="H51" s="100"/>
      <c r="I51" s="260"/>
      <c r="J51" s="108"/>
      <c r="K51" s="109"/>
      <c r="L51" s="110"/>
      <c r="M51" s="104"/>
      <c r="N51" s="34"/>
      <c r="O51" s="217"/>
      <c r="P51" s="226"/>
    </row>
    <row r="52" spans="1:20" ht="15.65" customHeight="1" x14ac:dyDescent="0.3">
      <c r="A52" s="205"/>
      <c r="B52" s="209"/>
      <c r="C52" s="98" t="s">
        <v>53</v>
      </c>
      <c r="D52" s="36" t="s">
        <v>83</v>
      </c>
      <c r="E52" s="37">
        <f t="shared" si="1"/>
        <v>4</v>
      </c>
      <c r="F52" s="57">
        <v>3</v>
      </c>
      <c r="G52" s="99"/>
      <c r="H52" s="100"/>
      <c r="I52" s="260"/>
      <c r="J52" s="108"/>
      <c r="K52" s="109"/>
      <c r="L52" s="110"/>
      <c r="M52" s="104"/>
      <c r="N52" s="34"/>
      <c r="O52" s="217"/>
      <c r="P52" s="226"/>
    </row>
    <row r="53" spans="1:20" ht="15.65" customHeight="1" x14ac:dyDescent="0.3">
      <c r="A53" s="205"/>
      <c r="B53" s="208" t="s">
        <v>58</v>
      </c>
      <c r="C53" s="86" t="s">
        <v>53</v>
      </c>
      <c r="D53" s="47" t="s">
        <v>84</v>
      </c>
      <c r="E53" s="48">
        <f t="shared" si="1"/>
        <v>3</v>
      </c>
      <c r="F53" s="49">
        <v>3</v>
      </c>
      <c r="G53" s="111"/>
      <c r="H53" s="94"/>
      <c r="I53" s="260"/>
      <c r="J53" s="89"/>
      <c r="K53" s="90"/>
      <c r="L53" s="112"/>
      <c r="M53" s="92"/>
      <c r="N53" s="55"/>
      <c r="O53" s="217"/>
      <c r="P53" s="226"/>
    </row>
    <row r="54" spans="1:20" ht="15.65" customHeight="1" x14ac:dyDescent="0.3">
      <c r="A54" s="205"/>
      <c r="B54" s="209"/>
      <c r="C54" s="98" t="s">
        <v>53</v>
      </c>
      <c r="D54" s="36" t="s">
        <v>85</v>
      </c>
      <c r="E54" s="37">
        <f t="shared" si="1"/>
        <v>3</v>
      </c>
      <c r="F54" s="57">
        <v>3</v>
      </c>
      <c r="G54" s="113"/>
      <c r="H54" s="100"/>
      <c r="I54" s="260"/>
      <c r="J54" s="114"/>
      <c r="K54" s="115"/>
      <c r="L54" s="116"/>
      <c r="M54" s="104"/>
      <c r="N54" s="34"/>
      <c r="O54" s="217"/>
      <c r="P54" s="226"/>
    </row>
    <row r="55" spans="1:20" ht="15.65" customHeight="1" x14ac:dyDescent="0.3">
      <c r="A55" s="205"/>
      <c r="B55" s="85" t="s">
        <v>63</v>
      </c>
      <c r="C55" s="86" t="s">
        <v>53</v>
      </c>
      <c r="D55" s="47" t="s">
        <v>86</v>
      </c>
      <c r="E55" s="48">
        <f t="shared" si="1"/>
        <v>4</v>
      </c>
      <c r="F55" s="49">
        <v>3</v>
      </c>
      <c r="G55" s="93"/>
      <c r="H55" s="88"/>
      <c r="I55" s="260"/>
      <c r="J55" s="89"/>
      <c r="K55" s="90"/>
      <c r="L55" s="112"/>
      <c r="M55" s="92"/>
      <c r="N55" s="55"/>
      <c r="O55" s="217"/>
      <c r="P55" s="226"/>
    </row>
    <row r="56" spans="1:20" ht="15.65" customHeight="1" x14ac:dyDescent="0.3">
      <c r="A56" s="205"/>
      <c r="B56" s="208" t="s">
        <v>87</v>
      </c>
      <c r="C56" s="86" t="s">
        <v>22</v>
      </c>
      <c r="D56" s="47" t="s">
        <v>88</v>
      </c>
      <c r="E56" s="48">
        <f t="shared" si="1"/>
        <v>4</v>
      </c>
      <c r="F56" s="49">
        <v>3</v>
      </c>
      <c r="G56" s="93"/>
      <c r="H56" s="88"/>
      <c r="I56" s="260"/>
      <c r="J56" s="89"/>
      <c r="K56" s="90"/>
      <c r="L56" s="112"/>
      <c r="M56" s="92"/>
      <c r="N56" s="46"/>
      <c r="O56" s="217"/>
      <c r="P56" s="226"/>
    </row>
    <row r="57" spans="1:20" ht="15.65" customHeight="1" thickBot="1" x14ac:dyDescent="0.35">
      <c r="A57" s="205"/>
      <c r="B57" s="209"/>
      <c r="C57" s="98" t="s">
        <v>22</v>
      </c>
      <c r="D57" s="36" t="s">
        <v>89</v>
      </c>
      <c r="E57" s="37">
        <f t="shared" si="1"/>
        <v>4</v>
      </c>
      <c r="F57" s="57">
        <v>3</v>
      </c>
      <c r="G57" s="99"/>
      <c r="H57" s="117"/>
      <c r="I57" s="260"/>
      <c r="J57" s="114"/>
      <c r="K57" s="115"/>
      <c r="L57" s="116"/>
      <c r="M57" s="104"/>
      <c r="N57" s="45"/>
      <c r="O57" s="217"/>
      <c r="P57" s="226"/>
    </row>
    <row r="58" spans="1:20" ht="15.65" customHeight="1" x14ac:dyDescent="0.3">
      <c r="A58" s="205"/>
      <c r="B58" s="74" t="s">
        <v>18</v>
      </c>
      <c r="C58" s="75" t="s">
        <v>51</v>
      </c>
      <c r="D58" s="25" t="s">
        <v>90</v>
      </c>
      <c r="E58" s="76">
        <f t="shared" si="1"/>
        <v>4</v>
      </c>
      <c r="F58" s="77">
        <v>3</v>
      </c>
      <c r="G58" s="78"/>
      <c r="H58" s="79"/>
      <c r="I58" s="81"/>
      <c r="J58" s="243" t="s">
        <v>73</v>
      </c>
      <c r="K58" s="81"/>
      <c r="L58" s="82"/>
      <c r="M58" s="83"/>
      <c r="N58" s="118"/>
      <c r="O58" s="217"/>
      <c r="P58" s="226"/>
      <c r="R58" s="72"/>
      <c r="S58" s="72"/>
      <c r="T58" s="72"/>
    </row>
    <row r="59" spans="1:20" ht="15.65" customHeight="1" x14ac:dyDescent="0.3">
      <c r="A59" s="205"/>
      <c r="B59" s="85" t="s">
        <v>26</v>
      </c>
      <c r="C59" s="86" t="s">
        <v>53</v>
      </c>
      <c r="D59" s="47" t="s">
        <v>91</v>
      </c>
      <c r="E59" s="48">
        <f t="shared" si="1"/>
        <v>4</v>
      </c>
      <c r="F59" s="58">
        <v>3</v>
      </c>
      <c r="G59" s="93"/>
      <c r="H59" s="88"/>
      <c r="I59" s="90"/>
      <c r="J59" s="244"/>
      <c r="K59" s="90"/>
      <c r="L59" s="91"/>
      <c r="M59" s="92"/>
      <c r="N59" s="46"/>
      <c r="O59" s="217"/>
      <c r="P59" s="226"/>
    </row>
    <row r="60" spans="1:20" ht="15.65" customHeight="1" x14ac:dyDescent="0.3">
      <c r="A60" s="205"/>
      <c r="B60" s="85" t="s">
        <v>32</v>
      </c>
      <c r="C60" s="86" t="s">
        <v>53</v>
      </c>
      <c r="D60" s="47" t="s">
        <v>92</v>
      </c>
      <c r="E60" s="48">
        <f t="shared" si="1"/>
        <v>4</v>
      </c>
      <c r="F60" s="58">
        <v>3</v>
      </c>
      <c r="G60" s="93"/>
      <c r="H60" s="88"/>
      <c r="I60" s="90"/>
      <c r="J60" s="244"/>
      <c r="K60" s="90"/>
      <c r="L60" s="91"/>
      <c r="M60" s="92"/>
      <c r="N60" s="55"/>
      <c r="O60" s="217"/>
      <c r="P60" s="226"/>
    </row>
    <row r="61" spans="1:20" ht="15.65" customHeight="1" x14ac:dyDescent="0.3">
      <c r="A61" s="205"/>
      <c r="B61" s="208" t="s">
        <v>38</v>
      </c>
      <c r="C61" s="86" t="s">
        <v>22</v>
      </c>
      <c r="D61" s="47" t="s">
        <v>93</v>
      </c>
      <c r="E61" s="48">
        <f t="shared" si="1"/>
        <v>4</v>
      </c>
      <c r="F61" s="58">
        <v>3</v>
      </c>
      <c r="G61" s="93"/>
      <c r="H61" s="94"/>
      <c r="I61" s="96"/>
      <c r="J61" s="244"/>
      <c r="K61" s="96"/>
      <c r="L61" s="97"/>
      <c r="M61" s="92"/>
      <c r="N61" s="46"/>
      <c r="O61" s="217"/>
      <c r="P61" s="226"/>
    </row>
    <row r="62" spans="1:20" ht="15.65" customHeight="1" x14ac:dyDescent="0.3">
      <c r="A62" s="205"/>
      <c r="B62" s="209"/>
      <c r="C62" s="98" t="s">
        <v>53</v>
      </c>
      <c r="D62" s="36" t="s">
        <v>94</v>
      </c>
      <c r="E62" s="37">
        <f t="shared" si="1"/>
        <v>4</v>
      </c>
      <c r="F62" s="38">
        <v>3</v>
      </c>
      <c r="G62" s="99"/>
      <c r="H62" s="100"/>
      <c r="I62" s="102"/>
      <c r="J62" s="244"/>
      <c r="K62" s="102"/>
      <c r="L62" s="103"/>
      <c r="M62" s="104"/>
      <c r="N62" s="34"/>
      <c r="O62" s="217"/>
      <c r="P62" s="226"/>
    </row>
    <row r="63" spans="1:20" ht="15.65" customHeight="1" x14ac:dyDescent="0.3">
      <c r="A63" s="205"/>
      <c r="B63" s="209"/>
      <c r="C63" s="98" t="s">
        <v>53</v>
      </c>
      <c r="D63" s="36" t="s">
        <v>95</v>
      </c>
      <c r="E63" s="37">
        <f t="shared" si="1"/>
        <v>4</v>
      </c>
      <c r="F63" s="38">
        <v>3</v>
      </c>
      <c r="G63" s="99"/>
      <c r="H63" s="100"/>
      <c r="I63" s="102"/>
      <c r="J63" s="244"/>
      <c r="K63" s="102"/>
      <c r="L63" s="103"/>
      <c r="M63" s="104"/>
      <c r="N63" s="34"/>
      <c r="O63" s="217"/>
      <c r="P63" s="226"/>
    </row>
    <row r="64" spans="1:20" ht="15.65" customHeight="1" x14ac:dyDescent="0.3">
      <c r="A64" s="205"/>
      <c r="B64" s="209"/>
      <c r="C64" s="98" t="s">
        <v>22</v>
      </c>
      <c r="D64" s="36" t="s">
        <v>96</v>
      </c>
      <c r="E64" s="37">
        <f t="shared" si="1"/>
        <v>4</v>
      </c>
      <c r="F64" s="38">
        <v>3</v>
      </c>
      <c r="G64" s="99"/>
      <c r="H64" s="100"/>
      <c r="I64" s="102"/>
      <c r="J64" s="244"/>
      <c r="K64" s="102"/>
      <c r="L64" s="103"/>
      <c r="M64" s="104"/>
      <c r="N64" s="34"/>
      <c r="O64" s="217"/>
      <c r="P64" s="226"/>
    </row>
    <row r="65" spans="1:16" ht="15.65" customHeight="1" x14ac:dyDescent="0.3">
      <c r="A65" s="205"/>
      <c r="B65" s="208" t="s">
        <v>43</v>
      </c>
      <c r="C65" s="86" t="s">
        <v>53</v>
      </c>
      <c r="D65" s="47" t="s">
        <v>97</v>
      </c>
      <c r="E65" s="48">
        <f t="shared" si="1"/>
        <v>4</v>
      </c>
      <c r="F65" s="58">
        <v>3</v>
      </c>
      <c r="G65" s="93"/>
      <c r="H65" s="94"/>
      <c r="I65" s="90"/>
      <c r="J65" s="244"/>
      <c r="K65" s="106"/>
      <c r="L65" s="107"/>
      <c r="M65" s="92"/>
      <c r="N65" s="55"/>
      <c r="O65" s="217"/>
      <c r="P65" s="226"/>
    </row>
    <row r="66" spans="1:16" ht="15.65" customHeight="1" x14ac:dyDescent="0.3">
      <c r="A66" s="205"/>
      <c r="B66" s="209"/>
      <c r="C66" s="98" t="s">
        <v>53</v>
      </c>
      <c r="D66" s="36" t="s">
        <v>98</v>
      </c>
      <c r="E66" s="37">
        <f t="shared" si="1"/>
        <v>4</v>
      </c>
      <c r="F66" s="38">
        <v>3</v>
      </c>
      <c r="G66" s="99"/>
      <c r="H66" s="100"/>
      <c r="I66" s="115"/>
      <c r="J66" s="244"/>
      <c r="K66" s="109"/>
      <c r="L66" s="110"/>
      <c r="M66" s="104"/>
      <c r="N66" s="34"/>
      <c r="O66" s="217"/>
      <c r="P66" s="226"/>
    </row>
    <row r="67" spans="1:16" ht="15.65" customHeight="1" x14ac:dyDescent="0.3">
      <c r="A67" s="205"/>
      <c r="B67" s="209"/>
      <c r="C67" s="98" t="s">
        <v>53</v>
      </c>
      <c r="D67" s="36" t="s">
        <v>99</v>
      </c>
      <c r="E67" s="37">
        <f t="shared" si="1"/>
        <v>4</v>
      </c>
      <c r="F67" s="38">
        <v>3</v>
      </c>
      <c r="G67" s="99"/>
      <c r="H67" s="100"/>
      <c r="I67" s="115"/>
      <c r="J67" s="244"/>
      <c r="K67" s="109"/>
      <c r="L67" s="110"/>
      <c r="M67" s="104"/>
      <c r="N67" s="34"/>
      <c r="O67" s="217"/>
      <c r="P67" s="226"/>
    </row>
    <row r="68" spans="1:16" ht="15.65" customHeight="1" x14ac:dyDescent="0.3">
      <c r="A68" s="205"/>
      <c r="B68" s="209"/>
      <c r="C68" s="98" t="s">
        <v>22</v>
      </c>
      <c r="D68" s="36" t="s">
        <v>100</v>
      </c>
      <c r="E68" s="37">
        <f t="shared" ref="E68:E99" si="2">IFERROR(VLOOKUP(D68, 기본학점, 2, FALSE), "")</f>
        <v>4</v>
      </c>
      <c r="F68" s="38">
        <v>3</v>
      </c>
      <c r="G68" s="99"/>
      <c r="H68" s="100"/>
      <c r="I68" s="115"/>
      <c r="J68" s="244"/>
      <c r="K68" s="109"/>
      <c r="L68" s="110"/>
      <c r="M68" s="104"/>
      <c r="N68" s="34"/>
      <c r="O68" s="217"/>
      <c r="P68" s="226"/>
    </row>
    <row r="69" spans="1:16" ht="15.65" customHeight="1" x14ac:dyDescent="0.3">
      <c r="A69" s="205"/>
      <c r="B69" s="208" t="s">
        <v>58</v>
      </c>
      <c r="C69" s="86" t="s">
        <v>53</v>
      </c>
      <c r="D69" s="47" t="s">
        <v>101</v>
      </c>
      <c r="E69" s="48">
        <f t="shared" si="2"/>
        <v>3</v>
      </c>
      <c r="F69" s="49">
        <v>3</v>
      </c>
      <c r="G69" s="93"/>
      <c r="H69" s="94"/>
      <c r="I69" s="90"/>
      <c r="J69" s="244"/>
      <c r="K69" s="90"/>
      <c r="L69" s="112"/>
      <c r="M69" s="92"/>
      <c r="N69" s="46"/>
      <c r="O69" s="217"/>
      <c r="P69" s="226"/>
    </row>
    <row r="70" spans="1:16" ht="15.65" customHeight="1" x14ac:dyDescent="0.3">
      <c r="A70" s="205"/>
      <c r="B70" s="209"/>
      <c r="C70" s="98" t="s">
        <v>51</v>
      </c>
      <c r="D70" s="36" t="s">
        <v>102</v>
      </c>
      <c r="E70" s="37">
        <f t="shared" si="2"/>
        <v>3</v>
      </c>
      <c r="F70" s="38">
        <v>3</v>
      </c>
      <c r="G70" s="99"/>
      <c r="H70" s="100"/>
      <c r="I70" s="115"/>
      <c r="J70" s="244"/>
      <c r="K70" s="115"/>
      <c r="L70" s="116"/>
      <c r="M70" s="104"/>
      <c r="N70" s="34"/>
      <c r="O70" s="217"/>
      <c r="P70" s="226"/>
    </row>
    <row r="71" spans="1:16" ht="15.65" customHeight="1" x14ac:dyDescent="0.3">
      <c r="A71" s="205"/>
      <c r="B71" s="85" t="s">
        <v>63</v>
      </c>
      <c r="C71" s="86" t="s">
        <v>53</v>
      </c>
      <c r="D71" s="47" t="s">
        <v>103</v>
      </c>
      <c r="E71" s="48">
        <f t="shared" si="2"/>
        <v>4</v>
      </c>
      <c r="F71" s="58">
        <v>3</v>
      </c>
      <c r="G71" s="93"/>
      <c r="H71" s="88"/>
      <c r="I71" s="90"/>
      <c r="J71" s="244"/>
      <c r="K71" s="90"/>
      <c r="L71" s="112"/>
      <c r="M71" s="92"/>
      <c r="N71" s="46"/>
      <c r="O71" s="217"/>
      <c r="P71" s="226"/>
    </row>
    <row r="72" spans="1:16" ht="15.65" customHeight="1" x14ac:dyDescent="0.3">
      <c r="A72" s="205"/>
      <c r="B72" s="208" t="s">
        <v>87</v>
      </c>
      <c r="C72" s="86" t="s">
        <v>51</v>
      </c>
      <c r="D72" s="47" t="s">
        <v>104</v>
      </c>
      <c r="E72" s="48">
        <f t="shared" si="2"/>
        <v>4</v>
      </c>
      <c r="F72" s="49">
        <v>3</v>
      </c>
      <c r="G72" s="93"/>
      <c r="H72" s="88"/>
      <c r="I72" s="90"/>
      <c r="J72" s="244"/>
      <c r="K72" s="90"/>
      <c r="L72" s="112"/>
      <c r="M72" s="92"/>
      <c r="N72" s="46"/>
      <c r="O72" s="217"/>
      <c r="P72" s="226"/>
    </row>
    <row r="73" spans="1:16" ht="15.65" customHeight="1" thickBot="1" x14ac:dyDescent="0.35">
      <c r="A73" s="205"/>
      <c r="B73" s="209"/>
      <c r="C73" s="98" t="s">
        <v>51</v>
      </c>
      <c r="D73" s="36" t="s">
        <v>105</v>
      </c>
      <c r="E73" s="37">
        <f t="shared" si="2"/>
        <v>4</v>
      </c>
      <c r="F73" s="37">
        <v>3</v>
      </c>
      <c r="G73" s="99"/>
      <c r="H73" s="117"/>
      <c r="I73" s="115"/>
      <c r="J73" s="244"/>
      <c r="K73" s="115"/>
      <c r="L73" s="116"/>
      <c r="M73" s="104"/>
      <c r="N73" s="34"/>
      <c r="O73" s="218"/>
      <c r="P73" s="226"/>
    </row>
    <row r="74" spans="1:16" ht="15.65" customHeight="1" x14ac:dyDescent="0.3">
      <c r="A74" s="204" t="s">
        <v>106</v>
      </c>
      <c r="B74" s="74" t="s">
        <v>18</v>
      </c>
      <c r="C74" s="75" t="s">
        <v>53</v>
      </c>
      <c r="D74" s="25" t="s">
        <v>107</v>
      </c>
      <c r="E74" s="77">
        <f t="shared" si="2"/>
        <v>4</v>
      </c>
      <c r="F74" s="119">
        <v>3</v>
      </c>
      <c r="G74" s="120"/>
      <c r="H74" s="79"/>
      <c r="I74" s="81"/>
      <c r="J74" s="82"/>
      <c r="K74" s="268" t="s">
        <v>73</v>
      </c>
      <c r="L74" s="121"/>
      <c r="M74" s="83"/>
      <c r="N74" s="84"/>
      <c r="O74" s="236">
        <v>39</v>
      </c>
      <c r="P74" s="234"/>
    </row>
    <row r="75" spans="1:16" ht="15.65" customHeight="1" x14ac:dyDescent="0.3">
      <c r="A75" s="205"/>
      <c r="B75" s="208" t="s">
        <v>26</v>
      </c>
      <c r="C75" s="86" t="s">
        <v>53</v>
      </c>
      <c r="D75" s="47" t="s">
        <v>108</v>
      </c>
      <c r="E75" s="48">
        <f t="shared" si="2"/>
        <v>4</v>
      </c>
      <c r="F75" s="49">
        <v>3</v>
      </c>
      <c r="G75" s="93"/>
      <c r="H75" s="88"/>
      <c r="I75" s="90"/>
      <c r="J75" s="91"/>
      <c r="K75" s="260"/>
      <c r="L75" s="112"/>
      <c r="M75" s="92"/>
      <c r="N75" s="55"/>
      <c r="O75" s="217"/>
      <c r="P75" s="226"/>
    </row>
    <row r="76" spans="1:16" ht="15.65" customHeight="1" x14ac:dyDescent="0.3">
      <c r="A76" s="205"/>
      <c r="B76" s="209"/>
      <c r="C76" s="98" t="s">
        <v>53</v>
      </c>
      <c r="D76" s="36" t="s">
        <v>109</v>
      </c>
      <c r="E76" s="37">
        <f t="shared" si="2"/>
        <v>4</v>
      </c>
      <c r="F76" s="38">
        <v>3</v>
      </c>
      <c r="G76" s="99"/>
      <c r="H76" s="117"/>
      <c r="I76" s="115"/>
      <c r="J76" s="122"/>
      <c r="K76" s="260"/>
      <c r="L76" s="116"/>
      <c r="M76" s="104"/>
      <c r="N76" s="34"/>
      <c r="O76" s="217"/>
      <c r="P76" s="226"/>
    </row>
    <row r="77" spans="1:16" ht="15.65" customHeight="1" x14ac:dyDescent="0.3">
      <c r="A77" s="205"/>
      <c r="B77" s="85" t="s">
        <v>32</v>
      </c>
      <c r="C77" s="86" t="s">
        <v>53</v>
      </c>
      <c r="D77" s="47" t="s">
        <v>110</v>
      </c>
      <c r="E77" s="48">
        <f t="shared" si="2"/>
        <v>4</v>
      </c>
      <c r="F77" s="49">
        <v>3</v>
      </c>
      <c r="G77" s="93"/>
      <c r="H77" s="88"/>
      <c r="I77" s="90"/>
      <c r="J77" s="91"/>
      <c r="K77" s="260"/>
      <c r="L77" s="112"/>
      <c r="M77" s="92"/>
      <c r="N77" s="55"/>
      <c r="O77" s="217"/>
      <c r="P77" s="226"/>
    </row>
    <row r="78" spans="1:16" ht="15.65" customHeight="1" x14ac:dyDescent="0.3">
      <c r="A78" s="205"/>
      <c r="B78" s="210" t="s">
        <v>38</v>
      </c>
      <c r="C78" s="86" t="s">
        <v>51</v>
      </c>
      <c r="D78" s="47" t="s">
        <v>111</v>
      </c>
      <c r="E78" s="48">
        <f t="shared" si="2"/>
        <v>4</v>
      </c>
      <c r="F78" s="58">
        <v>3</v>
      </c>
      <c r="G78" s="93"/>
      <c r="H78" s="94"/>
      <c r="I78" s="96"/>
      <c r="J78" s="97"/>
      <c r="K78" s="260"/>
      <c r="L78" s="88"/>
      <c r="M78" s="92"/>
      <c r="N78" s="55"/>
      <c r="O78" s="217"/>
      <c r="P78" s="226"/>
    </row>
    <row r="79" spans="1:16" ht="15.65" customHeight="1" x14ac:dyDescent="0.3">
      <c r="A79" s="205"/>
      <c r="B79" s="209"/>
      <c r="C79" s="98" t="s">
        <v>53</v>
      </c>
      <c r="D79" s="36" t="s">
        <v>112</v>
      </c>
      <c r="E79" s="37">
        <f t="shared" si="2"/>
        <v>4</v>
      </c>
      <c r="F79" s="38">
        <v>3</v>
      </c>
      <c r="G79" s="99"/>
      <c r="H79" s="100"/>
      <c r="I79" s="102"/>
      <c r="J79" s="103"/>
      <c r="K79" s="260"/>
      <c r="L79" s="117"/>
      <c r="M79" s="104"/>
      <c r="N79" s="34"/>
      <c r="O79" s="217"/>
      <c r="P79" s="226"/>
    </row>
    <row r="80" spans="1:16" ht="15.65" customHeight="1" x14ac:dyDescent="0.3">
      <c r="A80" s="205"/>
      <c r="B80" s="209"/>
      <c r="C80" s="98" t="s">
        <v>22</v>
      </c>
      <c r="D80" s="36" t="s">
        <v>113</v>
      </c>
      <c r="E80" s="37">
        <f t="shared" si="2"/>
        <v>4</v>
      </c>
      <c r="F80" s="38">
        <v>3</v>
      </c>
      <c r="G80" s="99"/>
      <c r="H80" s="100"/>
      <c r="I80" s="102"/>
      <c r="J80" s="103"/>
      <c r="K80" s="260"/>
      <c r="L80" s="117"/>
      <c r="M80" s="104"/>
      <c r="N80" s="34"/>
      <c r="O80" s="217"/>
      <c r="P80" s="226"/>
    </row>
    <row r="81" spans="1:16" ht="15.65" customHeight="1" x14ac:dyDescent="0.3">
      <c r="A81" s="205"/>
      <c r="B81" s="209"/>
      <c r="C81" s="98" t="s">
        <v>53</v>
      </c>
      <c r="D81" s="36" t="s">
        <v>114</v>
      </c>
      <c r="E81" s="37">
        <f t="shared" si="2"/>
        <v>4</v>
      </c>
      <c r="F81" s="38">
        <v>3</v>
      </c>
      <c r="G81" s="99"/>
      <c r="H81" s="100"/>
      <c r="I81" s="102"/>
      <c r="J81" s="103"/>
      <c r="K81" s="260"/>
      <c r="L81" s="117"/>
      <c r="M81" s="104"/>
      <c r="N81" s="34"/>
      <c r="O81" s="217"/>
      <c r="P81" s="226"/>
    </row>
    <row r="82" spans="1:16" ht="15.65" customHeight="1" x14ac:dyDescent="0.3">
      <c r="A82" s="205"/>
      <c r="B82" s="211"/>
      <c r="C82" s="123" t="s">
        <v>51</v>
      </c>
      <c r="D82" s="61" t="s">
        <v>115</v>
      </c>
      <c r="E82" s="124">
        <f t="shared" si="2"/>
        <v>4</v>
      </c>
      <c r="F82" s="124">
        <v>3</v>
      </c>
      <c r="G82" s="125"/>
      <c r="H82" s="126"/>
      <c r="I82" s="127"/>
      <c r="J82" s="128"/>
      <c r="K82" s="260"/>
      <c r="L82" s="128"/>
      <c r="M82" s="129"/>
      <c r="N82" s="130"/>
      <c r="O82" s="217"/>
      <c r="P82" s="226"/>
    </row>
    <row r="83" spans="1:16" ht="15.65" customHeight="1" x14ac:dyDescent="0.3">
      <c r="A83" s="205"/>
      <c r="B83" s="210" t="s">
        <v>43</v>
      </c>
      <c r="C83" s="86" t="s">
        <v>53</v>
      </c>
      <c r="D83" s="47" t="s">
        <v>116</v>
      </c>
      <c r="E83" s="48">
        <f t="shared" si="2"/>
        <v>4</v>
      </c>
      <c r="F83" s="58">
        <v>3</v>
      </c>
      <c r="G83" s="93"/>
      <c r="H83" s="94"/>
      <c r="I83" s="131"/>
      <c r="J83" s="132"/>
      <c r="K83" s="260"/>
      <c r="L83" s="107"/>
      <c r="M83" s="92"/>
      <c r="N83" s="55"/>
      <c r="O83" s="217"/>
      <c r="P83" s="226"/>
    </row>
    <row r="84" spans="1:16" ht="15.65" customHeight="1" x14ac:dyDescent="0.3">
      <c r="A84" s="205"/>
      <c r="B84" s="209"/>
      <c r="C84" s="98" t="s">
        <v>53</v>
      </c>
      <c r="D84" s="36" t="s">
        <v>117</v>
      </c>
      <c r="E84" s="37">
        <f t="shared" si="2"/>
        <v>4</v>
      </c>
      <c r="F84" s="38">
        <v>3</v>
      </c>
      <c r="G84" s="99"/>
      <c r="H84" s="100"/>
      <c r="I84" s="133"/>
      <c r="J84" s="134"/>
      <c r="K84" s="260"/>
      <c r="L84" s="110"/>
      <c r="M84" s="104"/>
      <c r="N84" s="34"/>
      <c r="O84" s="217"/>
      <c r="P84" s="226"/>
    </row>
    <row r="85" spans="1:16" ht="15.65" customHeight="1" x14ac:dyDescent="0.3">
      <c r="A85" s="205"/>
      <c r="B85" s="209"/>
      <c r="C85" s="98" t="s">
        <v>53</v>
      </c>
      <c r="D85" s="36" t="s">
        <v>118</v>
      </c>
      <c r="E85" s="37">
        <f t="shared" si="2"/>
        <v>4</v>
      </c>
      <c r="F85" s="38">
        <v>3</v>
      </c>
      <c r="G85" s="113"/>
      <c r="H85" s="117"/>
      <c r="I85" s="115"/>
      <c r="J85" s="122"/>
      <c r="K85" s="260"/>
      <c r="L85" s="116"/>
      <c r="M85" s="104"/>
      <c r="N85" s="34"/>
      <c r="O85" s="217"/>
      <c r="P85" s="226"/>
    </row>
    <row r="86" spans="1:16" ht="15.65" customHeight="1" x14ac:dyDescent="0.3">
      <c r="A86" s="205"/>
      <c r="B86" s="209"/>
      <c r="C86" s="135" t="s">
        <v>53</v>
      </c>
      <c r="D86" s="136" t="s">
        <v>119</v>
      </c>
      <c r="E86" s="62">
        <f t="shared" si="2"/>
        <v>4</v>
      </c>
      <c r="F86" s="27">
        <v>3</v>
      </c>
      <c r="G86" s="137"/>
      <c r="H86" s="138"/>
      <c r="I86" s="139"/>
      <c r="J86" s="140"/>
      <c r="K86" s="260"/>
      <c r="L86" s="140"/>
      <c r="M86" s="141"/>
      <c r="N86" s="142"/>
      <c r="O86" s="217"/>
      <c r="P86" s="226"/>
    </row>
    <row r="87" spans="1:16" ht="15.65" customHeight="1" x14ac:dyDescent="0.3">
      <c r="A87" s="205"/>
      <c r="B87" s="211"/>
      <c r="C87" s="135" t="s">
        <v>51</v>
      </c>
      <c r="D87" s="61" t="s">
        <v>120</v>
      </c>
      <c r="E87" s="124">
        <f t="shared" si="2"/>
        <v>4</v>
      </c>
      <c r="F87" s="143">
        <v>3</v>
      </c>
      <c r="G87" s="144"/>
      <c r="H87" s="145"/>
      <c r="I87" s="5"/>
      <c r="J87" s="146"/>
      <c r="K87" s="260"/>
      <c r="L87" s="146"/>
      <c r="M87" s="129"/>
      <c r="N87" s="142"/>
      <c r="O87" s="217"/>
      <c r="P87" s="226"/>
    </row>
    <row r="88" spans="1:16" ht="15.65" customHeight="1" x14ac:dyDescent="0.3">
      <c r="A88" s="205"/>
      <c r="B88" s="85" t="s">
        <v>48</v>
      </c>
      <c r="C88" s="86" t="s">
        <v>51</v>
      </c>
      <c r="D88" s="47" t="s">
        <v>121</v>
      </c>
      <c r="E88" s="48">
        <f t="shared" si="2"/>
        <v>3</v>
      </c>
      <c r="F88" s="49">
        <v>3</v>
      </c>
      <c r="G88" s="111"/>
      <c r="H88" s="88"/>
      <c r="I88" s="90"/>
      <c r="J88" s="91"/>
      <c r="K88" s="260"/>
      <c r="L88" s="112"/>
      <c r="M88" s="92"/>
      <c r="N88" s="46"/>
      <c r="O88" s="217"/>
      <c r="P88" s="226"/>
    </row>
    <row r="89" spans="1:16" ht="15.65" customHeight="1" x14ac:dyDescent="0.3">
      <c r="A89" s="205"/>
      <c r="B89" s="208" t="s">
        <v>58</v>
      </c>
      <c r="C89" s="86" t="s">
        <v>53</v>
      </c>
      <c r="D89" s="47" t="s">
        <v>122</v>
      </c>
      <c r="E89" s="49">
        <f t="shared" si="2"/>
        <v>3</v>
      </c>
      <c r="F89" s="49">
        <v>3</v>
      </c>
      <c r="G89" s="111"/>
      <c r="H89" s="94"/>
      <c r="I89" s="131"/>
      <c r="J89" s="132"/>
      <c r="K89" s="260"/>
      <c r="L89" s="107"/>
      <c r="M89" s="92"/>
      <c r="N89" s="46"/>
      <c r="O89" s="217"/>
      <c r="P89" s="226"/>
    </row>
    <row r="90" spans="1:16" ht="15.65" customHeight="1" x14ac:dyDescent="0.3">
      <c r="A90" s="205"/>
      <c r="B90" s="209"/>
      <c r="C90" s="98" t="s">
        <v>51</v>
      </c>
      <c r="D90" s="36" t="s">
        <v>123</v>
      </c>
      <c r="E90" s="37">
        <f t="shared" si="2"/>
        <v>3</v>
      </c>
      <c r="F90" s="38">
        <v>3</v>
      </c>
      <c r="G90" s="113"/>
      <c r="H90" s="100"/>
      <c r="I90" s="133"/>
      <c r="J90" s="134"/>
      <c r="K90" s="260"/>
      <c r="L90" s="110"/>
      <c r="M90" s="104"/>
      <c r="N90" s="34"/>
      <c r="O90" s="217"/>
      <c r="P90" s="226"/>
    </row>
    <row r="91" spans="1:16" ht="15.65" customHeight="1" x14ac:dyDescent="0.3">
      <c r="A91" s="205"/>
      <c r="B91" s="85" t="s">
        <v>63</v>
      </c>
      <c r="C91" s="86" t="s">
        <v>51</v>
      </c>
      <c r="D91" s="47" t="s">
        <v>124</v>
      </c>
      <c r="E91" s="48">
        <f t="shared" si="2"/>
        <v>4</v>
      </c>
      <c r="F91" s="58">
        <v>3</v>
      </c>
      <c r="G91" s="111"/>
      <c r="H91" s="88"/>
      <c r="I91" s="90"/>
      <c r="J91" s="91"/>
      <c r="K91" s="260"/>
      <c r="L91" s="112"/>
      <c r="M91" s="92"/>
      <c r="N91" s="46"/>
      <c r="O91" s="217"/>
      <c r="P91" s="226"/>
    </row>
    <row r="92" spans="1:16" ht="15.65" customHeight="1" x14ac:dyDescent="0.3">
      <c r="A92" s="205"/>
      <c r="B92" s="208" t="s">
        <v>87</v>
      </c>
      <c r="C92" s="86" t="s">
        <v>53</v>
      </c>
      <c r="D92" s="47" t="s">
        <v>125</v>
      </c>
      <c r="E92" s="48">
        <f t="shared" si="2"/>
        <v>4</v>
      </c>
      <c r="F92" s="49">
        <v>3</v>
      </c>
      <c r="G92" s="93"/>
      <c r="H92" s="88"/>
      <c r="I92" s="90"/>
      <c r="J92" s="91"/>
      <c r="K92" s="260"/>
      <c r="L92" s="112"/>
      <c r="M92" s="92"/>
      <c r="N92" s="46"/>
      <c r="O92" s="217"/>
      <c r="P92" s="226"/>
    </row>
    <row r="93" spans="1:16" ht="15.65" customHeight="1" x14ac:dyDescent="0.3">
      <c r="A93" s="205"/>
      <c r="B93" s="209"/>
      <c r="C93" s="98" t="s">
        <v>53</v>
      </c>
      <c r="D93" s="36" t="s">
        <v>126</v>
      </c>
      <c r="E93" s="37">
        <f t="shared" si="2"/>
        <v>4</v>
      </c>
      <c r="F93" s="38">
        <v>3</v>
      </c>
      <c r="G93" s="99"/>
      <c r="H93" s="117"/>
      <c r="I93" s="115"/>
      <c r="J93" s="122"/>
      <c r="K93" s="260"/>
      <c r="L93" s="116"/>
      <c r="M93" s="104"/>
      <c r="N93" s="34"/>
      <c r="O93" s="217"/>
      <c r="P93" s="226"/>
    </row>
    <row r="94" spans="1:16" ht="15.65" customHeight="1" x14ac:dyDescent="0.3">
      <c r="A94" s="205"/>
      <c r="B94" s="208" t="s">
        <v>68</v>
      </c>
      <c r="C94" s="86" t="s">
        <v>53</v>
      </c>
      <c r="D94" s="47" t="s">
        <v>127</v>
      </c>
      <c r="E94" s="48">
        <f t="shared" si="2"/>
        <v>3</v>
      </c>
      <c r="F94" s="49">
        <v>3</v>
      </c>
      <c r="G94" s="93"/>
      <c r="H94" s="88"/>
      <c r="I94" s="90"/>
      <c r="J94" s="91"/>
      <c r="K94" s="260"/>
      <c r="L94" s="112"/>
      <c r="M94" s="92"/>
      <c r="N94" s="55"/>
      <c r="O94" s="217"/>
      <c r="P94" s="226"/>
    </row>
    <row r="95" spans="1:16" ht="15.65" customHeight="1" thickBot="1" x14ac:dyDescent="0.35">
      <c r="A95" s="205"/>
      <c r="B95" s="209"/>
      <c r="C95" s="98" t="s">
        <v>53</v>
      </c>
      <c r="D95" s="36" t="s">
        <v>128</v>
      </c>
      <c r="E95" s="37">
        <f t="shared" si="2"/>
        <v>3</v>
      </c>
      <c r="F95" s="56">
        <v>3</v>
      </c>
      <c r="G95" s="99"/>
      <c r="H95" s="117"/>
      <c r="I95" s="115"/>
      <c r="J95" s="122"/>
      <c r="K95" s="260"/>
      <c r="L95" s="116"/>
      <c r="M95" s="104"/>
      <c r="N95" s="34"/>
      <c r="O95" s="217"/>
      <c r="P95" s="226"/>
    </row>
    <row r="96" spans="1:16" ht="15.65" customHeight="1" x14ac:dyDescent="0.3">
      <c r="A96" s="205"/>
      <c r="B96" s="266" t="s">
        <v>18</v>
      </c>
      <c r="C96" s="75" t="s">
        <v>53</v>
      </c>
      <c r="D96" s="25" t="s">
        <v>129</v>
      </c>
      <c r="E96" s="77">
        <f t="shared" si="2"/>
        <v>4</v>
      </c>
      <c r="F96" s="77">
        <v>3</v>
      </c>
      <c r="G96" s="120"/>
      <c r="H96" s="79"/>
      <c r="I96" s="147"/>
      <c r="J96" s="82"/>
      <c r="K96" s="148"/>
      <c r="L96" s="261" t="s">
        <v>130</v>
      </c>
      <c r="M96" s="83"/>
      <c r="N96" s="84"/>
      <c r="O96" s="217"/>
      <c r="P96" s="226"/>
    </row>
    <row r="97" spans="1:20" ht="15.65" customHeight="1" x14ac:dyDescent="0.3">
      <c r="A97" s="205"/>
      <c r="B97" s="211"/>
      <c r="C97" s="149" t="s">
        <v>51</v>
      </c>
      <c r="D97" s="150" t="s">
        <v>131</v>
      </c>
      <c r="E97" s="62">
        <f t="shared" si="2"/>
        <v>4</v>
      </c>
      <c r="F97" s="27">
        <v>3</v>
      </c>
      <c r="G97" s="151"/>
      <c r="H97" s="152"/>
      <c r="I97" s="153"/>
      <c r="J97" s="154"/>
      <c r="K97" s="155"/>
      <c r="L97" s="244"/>
      <c r="M97" s="156"/>
      <c r="N97" s="157"/>
      <c r="O97" s="217"/>
      <c r="P97" s="226"/>
    </row>
    <row r="98" spans="1:20" ht="15.65" customHeight="1" x14ac:dyDescent="0.3">
      <c r="A98" s="205"/>
      <c r="B98" s="208" t="s">
        <v>26</v>
      </c>
      <c r="C98" s="86" t="s">
        <v>51</v>
      </c>
      <c r="D98" s="47" t="s">
        <v>132</v>
      </c>
      <c r="E98" s="48">
        <f t="shared" si="2"/>
        <v>4</v>
      </c>
      <c r="F98" s="49">
        <v>3</v>
      </c>
      <c r="G98" s="93"/>
      <c r="H98" s="88"/>
      <c r="I98" s="158"/>
      <c r="J98" s="91"/>
      <c r="K98" s="159"/>
      <c r="L98" s="244"/>
      <c r="M98" s="92"/>
      <c r="N98" s="55"/>
      <c r="O98" s="217"/>
      <c r="P98" s="226"/>
    </row>
    <row r="99" spans="1:20" ht="15.65" customHeight="1" x14ac:dyDescent="0.3">
      <c r="A99" s="205"/>
      <c r="B99" s="209"/>
      <c r="C99" s="98" t="s">
        <v>51</v>
      </c>
      <c r="D99" s="36" t="s">
        <v>133</v>
      </c>
      <c r="E99" s="37">
        <f t="shared" si="2"/>
        <v>4</v>
      </c>
      <c r="F99" s="38">
        <v>3</v>
      </c>
      <c r="G99" s="99"/>
      <c r="H99" s="117"/>
      <c r="I99" s="160"/>
      <c r="J99" s="122"/>
      <c r="K99" s="161"/>
      <c r="L99" s="244"/>
      <c r="M99" s="104"/>
      <c r="N99" s="34"/>
      <c r="O99" s="217"/>
      <c r="P99" s="226"/>
    </row>
    <row r="100" spans="1:20" ht="15.65" customHeight="1" x14ac:dyDescent="0.3">
      <c r="A100" s="205"/>
      <c r="B100" s="85" t="s">
        <v>32</v>
      </c>
      <c r="C100" s="86" t="s">
        <v>51</v>
      </c>
      <c r="D100" s="47" t="s">
        <v>134</v>
      </c>
      <c r="E100" s="48">
        <f t="shared" ref="E100:E131" si="3">IFERROR(VLOOKUP(D100, 기본학점, 2, FALSE), "")</f>
        <v>4</v>
      </c>
      <c r="F100" s="49">
        <v>3</v>
      </c>
      <c r="G100" s="93"/>
      <c r="H100" s="88"/>
      <c r="I100" s="106"/>
      <c r="J100" s="112"/>
      <c r="K100" s="89"/>
      <c r="L100" s="244"/>
      <c r="M100" s="92"/>
      <c r="N100" s="46"/>
      <c r="O100" s="217"/>
      <c r="P100" s="226"/>
    </row>
    <row r="101" spans="1:20" ht="15.65" customHeight="1" x14ac:dyDescent="0.3">
      <c r="A101" s="205"/>
      <c r="B101" s="210" t="s">
        <v>38</v>
      </c>
      <c r="C101" s="86" t="s">
        <v>53</v>
      </c>
      <c r="D101" s="47" t="s">
        <v>135</v>
      </c>
      <c r="E101" s="48">
        <v>4</v>
      </c>
      <c r="F101" s="58">
        <v>3</v>
      </c>
      <c r="G101" s="93"/>
      <c r="H101" s="94"/>
      <c r="I101" s="96"/>
      <c r="J101" s="97"/>
      <c r="K101" s="162"/>
      <c r="L101" s="244"/>
      <c r="M101" s="163" t="s">
        <v>57</v>
      </c>
      <c r="N101" s="55"/>
      <c r="O101" s="217"/>
      <c r="P101" s="226"/>
    </row>
    <row r="102" spans="1:20" ht="15.65" customHeight="1" x14ac:dyDescent="0.3">
      <c r="A102" s="205"/>
      <c r="B102" s="209"/>
      <c r="C102" s="98" t="s">
        <v>51</v>
      </c>
      <c r="D102" s="36" t="s">
        <v>136</v>
      </c>
      <c r="E102" s="37">
        <f t="shared" ref="E102:E108" si="4">IFERROR(VLOOKUP(D102, 기본학점, 2, FALSE), "")</f>
        <v>4</v>
      </c>
      <c r="F102" s="38">
        <v>3</v>
      </c>
      <c r="G102" s="99"/>
      <c r="H102" s="100"/>
      <c r="I102" s="102"/>
      <c r="J102" s="103"/>
      <c r="K102" s="164"/>
      <c r="L102" s="244"/>
      <c r="M102" s="104"/>
      <c r="N102" s="34"/>
      <c r="O102" s="217"/>
      <c r="P102" s="226"/>
    </row>
    <row r="103" spans="1:20" ht="15.65" customHeight="1" x14ac:dyDescent="0.3">
      <c r="A103" s="205"/>
      <c r="B103" s="209"/>
      <c r="C103" s="98" t="s">
        <v>51</v>
      </c>
      <c r="D103" s="36" t="s">
        <v>137</v>
      </c>
      <c r="E103" s="37">
        <f t="shared" si="4"/>
        <v>4</v>
      </c>
      <c r="F103" s="38">
        <v>3</v>
      </c>
      <c r="G103" s="99"/>
      <c r="H103" s="100"/>
      <c r="I103" s="102"/>
      <c r="J103" s="103"/>
      <c r="K103" s="164"/>
      <c r="L103" s="244"/>
      <c r="M103" s="104"/>
      <c r="N103" s="34"/>
      <c r="O103" s="217"/>
      <c r="P103" s="226"/>
    </row>
    <row r="104" spans="1:20" ht="15.65" customHeight="1" x14ac:dyDescent="0.3">
      <c r="A104" s="205"/>
      <c r="B104" s="209"/>
      <c r="C104" s="98" t="s">
        <v>51</v>
      </c>
      <c r="D104" s="36" t="s">
        <v>138</v>
      </c>
      <c r="E104" s="37">
        <f t="shared" si="4"/>
        <v>4</v>
      </c>
      <c r="F104" s="38">
        <v>3</v>
      </c>
      <c r="G104" s="99"/>
      <c r="H104" s="100"/>
      <c r="I104" s="102"/>
      <c r="J104" s="103"/>
      <c r="K104" s="164"/>
      <c r="L104" s="244"/>
      <c r="M104" s="104"/>
      <c r="N104" s="34"/>
      <c r="O104" s="217"/>
      <c r="P104" s="226"/>
    </row>
    <row r="105" spans="1:20" ht="15.65" customHeight="1" x14ac:dyDescent="0.3">
      <c r="A105" s="205"/>
      <c r="B105" s="211"/>
      <c r="C105" s="123" t="s">
        <v>51</v>
      </c>
      <c r="D105" s="61" t="s">
        <v>139</v>
      </c>
      <c r="E105" s="124">
        <f t="shared" si="4"/>
        <v>4</v>
      </c>
      <c r="F105" s="124">
        <v>3</v>
      </c>
      <c r="G105" s="125"/>
      <c r="H105" s="126"/>
      <c r="I105" s="127"/>
      <c r="J105" s="128"/>
      <c r="K105" s="165"/>
      <c r="L105" s="244"/>
      <c r="M105" s="129"/>
      <c r="N105" s="130"/>
      <c r="O105" s="217"/>
      <c r="P105" s="226"/>
    </row>
    <row r="106" spans="1:20" ht="15.65" customHeight="1" x14ac:dyDescent="0.3">
      <c r="A106" s="205"/>
      <c r="B106" s="208" t="s">
        <v>43</v>
      </c>
      <c r="C106" s="86" t="s">
        <v>51</v>
      </c>
      <c r="D106" s="47" t="s">
        <v>140</v>
      </c>
      <c r="E106" s="48">
        <f t="shared" si="4"/>
        <v>4</v>
      </c>
      <c r="F106" s="58">
        <v>3</v>
      </c>
      <c r="G106" s="93"/>
      <c r="H106" s="94"/>
      <c r="I106" s="106"/>
      <c r="J106" s="107"/>
      <c r="K106" s="166"/>
      <c r="L106" s="244"/>
      <c r="M106" s="92"/>
      <c r="N106" s="55"/>
      <c r="O106" s="217"/>
      <c r="P106" s="226"/>
    </row>
    <row r="107" spans="1:20" ht="15.65" customHeight="1" x14ac:dyDescent="0.3">
      <c r="A107" s="205"/>
      <c r="B107" s="209"/>
      <c r="C107" s="98" t="s">
        <v>51</v>
      </c>
      <c r="D107" s="36" t="s">
        <v>141</v>
      </c>
      <c r="E107" s="37">
        <f t="shared" si="4"/>
        <v>4</v>
      </c>
      <c r="F107" s="38">
        <v>3</v>
      </c>
      <c r="G107" s="99"/>
      <c r="H107" s="100"/>
      <c r="I107" s="109"/>
      <c r="J107" s="110"/>
      <c r="K107" s="167"/>
      <c r="L107" s="244"/>
      <c r="M107" s="104"/>
      <c r="N107" s="34"/>
      <c r="O107" s="217"/>
      <c r="P107" s="226"/>
    </row>
    <row r="108" spans="1:20" ht="15.65" customHeight="1" x14ac:dyDescent="0.3">
      <c r="A108" s="205"/>
      <c r="B108" s="85" t="s">
        <v>48</v>
      </c>
      <c r="C108" s="86" t="s">
        <v>53</v>
      </c>
      <c r="D108" s="47" t="s">
        <v>142</v>
      </c>
      <c r="E108" s="48">
        <f t="shared" si="4"/>
        <v>3</v>
      </c>
      <c r="F108" s="49">
        <v>3</v>
      </c>
      <c r="G108" s="93"/>
      <c r="H108" s="94"/>
      <c r="I108" s="106"/>
      <c r="J108" s="107"/>
      <c r="K108" s="89"/>
      <c r="L108" s="244"/>
      <c r="M108" s="92"/>
      <c r="N108" s="46"/>
      <c r="O108" s="217"/>
      <c r="P108" s="226"/>
    </row>
    <row r="109" spans="1:20" ht="15.65" customHeight="1" x14ac:dyDescent="0.3">
      <c r="A109" s="205"/>
      <c r="B109" s="210" t="s">
        <v>58</v>
      </c>
      <c r="C109" s="86" t="s">
        <v>53</v>
      </c>
      <c r="D109" s="47" t="s">
        <v>143</v>
      </c>
      <c r="E109" s="48">
        <v>3</v>
      </c>
      <c r="F109" s="49">
        <v>3</v>
      </c>
      <c r="G109" s="111"/>
      <c r="H109" s="94"/>
      <c r="I109" s="131"/>
      <c r="J109" s="107"/>
      <c r="K109" s="166"/>
      <c r="L109" s="244"/>
      <c r="M109" s="92" t="s">
        <v>144</v>
      </c>
      <c r="N109" s="55"/>
      <c r="O109" s="217"/>
      <c r="P109" s="226"/>
    </row>
    <row r="110" spans="1:20" ht="15.65" customHeight="1" x14ac:dyDescent="0.3">
      <c r="A110" s="205"/>
      <c r="B110" s="211"/>
      <c r="C110" s="98" t="s">
        <v>53</v>
      </c>
      <c r="D110" s="168" t="s">
        <v>145</v>
      </c>
      <c r="E110" s="37">
        <v>3</v>
      </c>
      <c r="F110" s="38">
        <v>3</v>
      </c>
      <c r="G110" s="113"/>
      <c r="H110" s="100"/>
      <c r="I110" s="169"/>
      <c r="J110" s="110"/>
      <c r="K110" s="167"/>
      <c r="L110" s="244"/>
      <c r="M110" s="104" t="s">
        <v>144</v>
      </c>
      <c r="N110" s="34"/>
      <c r="O110" s="217"/>
      <c r="P110" s="226"/>
    </row>
    <row r="111" spans="1:20" ht="15.65" customHeight="1" x14ac:dyDescent="0.3">
      <c r="A111" s="205"/>
      <c r="B111" s="208" t="s">
        <v>87</v>
      </c>
      <c r="C111" s="86" t="s">
        <v>53</v>
      </c>
      <c r="D111" s="47" t="s">
        <v>146</v>
      </c>
      <c r="E111" s="48">
        <f t="shared" ref="E111:E116" si="5">IFERROR(VLOOKUP(D111, 기본학점, 2, FALSE), "")</f>
        <v>4</v>
      </c>
      <c r="F111" s="58">
        <v>3</v>
      </c>
      <c r="G111" s="93"/>
      <c r="H111" s="88"/>
      <c r="I111" s="106"/>
      <c r="J111" s="112"/>
      <c r="K111" s="89"/>
      <c r="L111" s="244"/>
      <c r="M111" s="92"/>
      <c r="N111" s="46"/>
      <c r="O111" s="217"/>
      <c r="P111" s="226"/>
    </row>
    <row r="112" spans="1:20" ht="15.65" customHeight="1" x14ac:dyDescent="0.3">
      <c r="A112" s="205"/>
      <c r="B112" s="209"/>
      <c r="C112" s="98" t="s">
        <v>53</v>
      </c>
      <c r="D112" s="36" t="s">
        <v>147</v>
      </c>
      <c r="E112" s="37">
        <f t="shared" si="5"/>
        <v>4</v>
      </c>
      <c r="F112" s="38">
        <v>3</v>
      </c>
      <c r="G112" s="99"/>
      <c r="H112" s="117"/>
      <c r="I112" s="109"/>
      <c r="J112" s="116"/>
      <c r="K112" s="114"/>
      <c r="L112" s="244"/>
      <c r="M112" s="104"/>
      <c r="N112" s="34"/>
      <c r="O112" s="217"/>
      <c r="P112" s="226"/>
      <c r="T112" t="s">
        <v>148</v>
      </c>
    </row>
    <row r="113" spans="1:19" ht="15.65" customHeight="1" x14ac:dyDescent="0.3">
      <c r="A113" s="205"/>
      <c r="B113" s="208" t="s">
        <v>68</v>
      </c>
      <c r="C113" s="86" t="s">
        <v>22</v>
      </c>
      <c r="D113" s="47" t="s">
        <v>149</v>
      </c>
      <c r="E113" s="48">
        <f t="shared" si="5"/>
        <v>3</v>
      </c>
      <c r="F113" s="49">
        <v>3</v>
      </c>
      <c r="G113" s="93"/>
      <c r="H113" s="88"/>
      <c r="I113" s="106"/>
      <c r="J113" s="112"/>
      <c r="K113" s="89"/>
      <c r="L113" s="244"/>
      <c r="M113" s="92"/>
      <c r="N113" s="46"/>
      <c r="O113" s="217"/>
      <c r="P113" s="226"/>
    </row>
    <row r="114" spans="1:19" ht="15.65" customHeight="1" x14ac:dyDescent="0.3">
      <c r="A114" s="205"/>
      <c r="B114" s="209"/>
      <c r="C114" s="98" t="s">
        <v>51</v>
      </c>
      <c r="D114" s="36" t="s">
        <v>150</v>
      </c>
      <c r="E114" s="37">
        <f t="shared" si="5"/>
        <v>3</v>
      </c>
      <c r="F114" s="56">
        <v>3</v>
      </c>
      <c r="G114" s="99"/>
      <c r="H114" s="117"/>
      <c r="I114" s="109"/>
      <c r="J114" s="116"/>
      <c r="K114" s="114"/>
      <c r="L114" s="244"/>
      <c r="M114" s="104"/>
      <c r="N114" s="34"/>
      <c r="O114" s="217"/>
      <c r="P114" s="226"/>
    </row>
    <row r="115" spans="1:19" ht="15.65" customHeight="1" thickBot="1" x14ac:dyDescent="0.35">
      <c r="A115" s="205"/>
      <c r="B115" s="209"/>
      <c r="C115" s="98" t="s">
        <v>51</v>
      </c>
      <c r="D115" s="36" t="s">
        <v>151</v>
      </c>
      <c r="E115" s="37">
        <f t="shared" si="5"/>
        <v>3</v>
      </c>
      <c r="F115" s="56">
        <v>3</v>
      </c>
      <c r="G115" s="99"/>
      <c r="H115" s="117"/>
      <c r="I115" s="109"/>
      <c r="J115" s="116"/>
      <c r="K115" s="170"/>
      <c r="L115" s="244"/>
      <c r="M115" s="104"/>
      <c r="N115" s="34"/>
      <c r="O115" s="218"/>
      <c r="P115" s="226"/>
    </row>
    <row r="116" spans="1:19" ht="18" hidden="1" customHeight="1" thickBot="1" x14ac:dyDescent="0.35">
      <c r="A116" s="171"/>
      <c r="B116" s="172"/>
      <c r="C116" s="173"/>
      <c r="D116" s="174"/>
      <c r="E116" s="175" t="str">
        <f t="shared" si="5"/>
        <v/>
      </c>
      <c r="F116" s="143"/>
      <c r="G116" s="176"/>
      <c r="H116" s="177"/>
      <c r="I116" s="178"/>
      <c r="J116" s="7"/>
      <c r="K116" s="172"/>
      <c r="L116" s="7"/>
      <c r="M116" s="179"/>
      <c r="N116" s="179"/>
      <c r="O116" s="180"/>
      <c r="P116" s="181"/>
    </row>
    <row r="117" spans="1:19" ht="17.25" customHeight="1" x14ac:dyDescent="0.3">
      <c r="A117" s="266" t="s">
        <v>152</v>
      </c>
      <c r="B117" s="269"/>
      <c r="C117" s="269"/>
      <c r="D117" s="269"/>
      <c r="E117" s="257"/>
      <c r="F117" s="182">
        <v>174</v>
      </c>
      <c r="G117" s="183">
        <f>SUM(G7:G115)</f>
        <v>30</v>
      </c>
      <c r="H117" s="184">
        <f>SUM(H7:H116)</f>
        <v>30</v>
      </c>
      <c r="I117" s="183">
        <v>29</v>
      </c>
      <c r="J117" s="185">
        <v>29</v>
      </c>
      <c r="K117" s="186">
        <v>29</v>
      </c>
      <c r="L117" s="185">
        <v>27</v>
      </c>
      <c r="M117" s="187"/>
      <c r="N117" s="187"/>
      <c r="O117" s="188">
        <f>SUM(G117:L117)</f>
        <v>174</v>
      </c>
      <c r="P117" s="189">
        <f>SUM(P7:P115)</f>
        <v>84</v>
      </c>
      <c r="Q117" s="1"/>
    </row>
    <row r="118" spans="1:19" ht="15.65" customHeight="1" x14ac:dyDescent="0.3">
      <c r="A118" s="210" t="s">
        <v>153</v>
      </c>
      <c r="B118" s="237"/>
      <c r="C118" s="237"/>
      <c r="D118" s="237"/>
      <c r="E118" s="238"/>
      <c r="F118" s="190">
        <v>18</v>
      </c>
      <c r="G118" s="178">
        <v>3</v>
      </c>
      <c r="H118" s="7">
        <v>3</v>
      </c>
      <c r="I118" s="191">
        <v>3</v>
      </c>
      <c r="J118" s="7">
        <v>3</v>
      </c>
      <c r="K118" s="191">
        <v>3</v>
      </c>
      <c r="L118" s="192">
        <v>3</v>
      </c>
      <c r="M118" s="6"/>
      <c r="N118" s="178"/>
      <c r="O118" s="178">
        <f>SUM(G118:L118)</f>
        <v>18</v>
      </c>
      <c r="P118" s="8">
        <v>18</v>
      </c>
    </row>
    <row r="119" spans="1:19" ht="15" customHeight="1" x14ac:dyDescent="0.3">
      <c r="A119" s="210" t="s">
        <v>154</v>
      </c>
      <c r="B119" s="237"/>
      <c r="C119" s="237"/>
      <c r="D119" s="237"/>
      <c r="E119" s="237"/>
      <c r="F119" s="238"/>
      <c r="G119" s="193">
        <f t="shared" ref="G119:L119" si="6">SUM(G117:G118)</f>
        <v>33</v>
      </c>
      <c r="H119" s="194">
        <f t="shared" si="6"/>
        <v>33</v>
      </c>
      <c r="I119" s="193">
        <f t="shared" si="6"/>
        <v>32</v>
      </c>
      <c r="J119" s="194">
        <f t="shared" si="6"/>
        <v>32</v>
      </c>
      <c r="K119" s="193">
        <f t="shared" si="6"/>
        <v>32</v>
      </c>
      <c r="L119" s="194">
        <f t="shared" si="6"/>
        <v>30</v>
      </c>
      <c r="M119" s="190"/>
      <c r="N119" s="195"/>
      <c r="O119" s="202">
        <f>SUM(G119:M119)</f>
        <v>192</v>
      </c>
      <c r="P119" s="207"/>
    </row>
    <row r="120" spans="1:19" ht="15" customHeight="1" x14ac:dyDescent="0.3">
      <c r="A120" s="210" t="s">
        <v>155</v>
      </c>
      <c r="B120" s="237"/>
      <c r="C120" s="237"/>
      <c r="D120" s="237"/>
      <c r="E120" s="237"/>
      <c r="F120" s="238"/>
      <c r="G120" s="195">
        <v>10</v>
      </c>
      <c r="H120" s="194">
        <v>10</v>
      </c>
      <c r="I120" s="193">
        <v>9</v>
      </c>
      <c r="J120" s="194">
        <v>9</v>
      </c>
      <c r="K120" s="193">
        <v>10</v>
      </c>
      <c r="L120" s="196">
        <v>10</v>
      </c>
      <c r="M120" s="190"/>
      <c r="N120" s="195"/>
      <c r="O120" s="206"/>
      <c r="P120" s="207"/>
    </row>
    <row r="121" spans="1:19" ht="17.25" customHeight="1" thickBot="1" x14ac:dyDescent="0.35">
      <c r="A121" s="222" t="s">
        <v>156</v>
      </c>
      <c r="B121" s="223"/>
      <c r="C121" s="223"/>
      <c r="D121" s="223"/>
      <c r="E121" s="223"/>
      <c r="F121" s="221"/>
      <c r="G121" s="220">
        <f>SUM(G119:H119)</f>
        <v>66</v>
      </c>
      <c r="H121" s="221"/>
      <c r="I121" s="220">
        <f>SUM(I119:J119)</f>
        <v>64</v>
      </c>
      <c r="J121" s="221"/>
      <c r="K121" s="220">
        <f>SUM(K119:L119)</f>
        <v>62</v>
      </c>
      <c r="L121" s="221"/>
      <c r="M121" s="197"/>
      <c r="N121" s="198"/>
      <c r="O121" s="270">
        <f>SUM(G121:M121)</f>
        <v>192</v>
      </c>
      <c r="P121" s="271"/>
    </row>
    <row r="122" spans="1:19" x14ac:dyDescent="0.3">
      <c r="A122" s="245" t="s">
        <v>157</v>
      </c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7"/>
    </row>
    <row r="123" spans="1:19" x14ac:dyDescent="0.3">
      <c r="A123" s="248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50"/>
    </row>
    <row r="124" spans="1:19" x14ac:dyDescent="0.3">
      <c r="A124" s="248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50"/>
    </row>
    <row r="125" spans="1:19" x14ac:dyDescent="0.3">
      <c r="A125" s="248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50"/>
    </row>
    <row r="126" spans="1:19" x14ac:dyDescent="0.3">
      <c r="A126" s="248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50"/>
    </row>
    <row r="127" spans="1:19" x14ac:dyDescent="0.3">
      <c r="A127" s="248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50"/>
    </row>
    <row r="128" spans="1:19" x14ac:dyDescent="0.3">
      <c r="A128" s="248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50"/>
      <c r="S128" s="199"/>
    </row>
    <row r="129" spans="1:16" x14ac:dyDescent="0.3">
      <c r="A129" s="248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50"/>
    </row>
    <row r="130" spans="1:16" ht="15" customHeight="1" thickBot="1" x14ac:dyDescent="0.35">
      <c r="A130" s="251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52"/>
    </row>
  </sheetData>
  <mergeCells count="94">
    <mergeCell ref="B17:B21"/>
    <mergeCell ref="K74:K95"/>
    <mergeCell ref="O119:P119"/>
    <mergeCell ref="A119:F119"/>
    <mergeCell ref="A117:E117"/>
    <mergeCell ref="P17:P21"/>
    <mergeCell ref="B7:B11"/>
    <mergeCell ref="G3:H3"/>
    <mergeCell ref="I3:J3"/>
    <mergeCell ref="O3:O5"/>
    <mergeCell ref="G4:G5"/>
    <mergeCell ref="I4:I5"/>
    <mergeCell ref="D3:D5"/>
    <mergeCell ref="K121:L121"/>
    <mergeCell ref="B96:B97"/>
    <mergeCell ref="A120:F120"/>
    <mergeCell ref="O24:O25"/>
    <mergeCell ref="B111:B112"/>
    <mergeCell ref="B38:B39"/>
    <mergeCell ref="B89:B90"/>
    <mergeCell ref="B65:B68"/>
    <mergeCell ref="O121:P121"/>
    <mergeCell ref="A122:P130"/>
    <mergeCell ref="A1:P1"/>
    <mergeCell ref="B12:B16"/>
    <mergeCell ref="B92:B93"/>
    <mergeCell ref="B101:B105"/>
    <mergeCell ref="B30:B35"/>
    <mergeCell ref="H4:H5"/>
    <mergeCell ref="A3:A5"/>
    <mergeCell ref="B94:B95"/>
    <mergeCell ref="P30:P35"/>
    <mergeCell ref="B45:B48"/>
    <mergeCell ref="K3:L3"/>
    <mergeCell ref="P7:P11"/>
    <mergeCell ref="P26:P29"/>
    <mergeCell ref="A7:A41"/>
    <mergeCell ref="I42:I57"/>
    <mergeCell ref="P3:P5"/>
    <mergeCell ref="O36:O37"/>
    <mergeCell ref="P42:P73"/>
    <mergeCell ref="K2:P2"/>
    <mergeCell ref="O17:O21"/>
    <mergeCell ref="O30:O35"/>
    <mergeCell ref="P36:P37"/>
    <mergeCell ref="O22:O23"/>
    <mergeCell ref="K4:K5"/>
    <mergeCell ref="N3:N5"/>
    <mergeCell ref="O38:O39"/>
    <mergeCell ref="P12:P16"/>
    <mergeCell ref="A2:D2"/>
    <mergeCell ref="O42:O73"/>
    <mergeCell ref="B106:B107"/>
    <mergeCell ref="B78:B82"/>
    <mergeCell ref="M3:M5"/>
    <mergeCell ref="O12:O16"/>
    <mergeCell ref="O74:O115"/>
    <mergeCell ref="B69:B70"/>
    <mergeCell ref="B3:B5"/>
    <mergeCell ref="J58:J73"/>
    <mergeCell ref="B53:B54"/>
    <mergeCell ref="B113:B115"/>
    <mergeCell ref="C3:C5"/>
    <mergeCell ref="B98:B99"/>
    <mergeCell ref="L96:L115"/>
    <mergeCell ref="B36:B37"/>
    <mergeCell ref="J4:J5"/>
    <mergeCell ref="L4:L5"/>
    <mergeCell ref="E3:E5"/>
    <mergeCell ref="O40:O41"/>
    <mergeCell ref="G121:H121"/>
    <mergeCell ref="A121:F121"/>
    <mergeCell ref="O7:O11"/>
    <mergeCell ref="I121:J121"/>
    <mergeCell ref="B40:B41"/>
    <mergeCell ref="B26:B29"/>
    <mergeCell ref="B56:B57"/>
    <mergeCell ref="A42:A73"/>
    <mergeCell ref="A118:E118"/>
    <mergeCell ref="F3:F5"/>
    <mergeCell ref="B49:B52"/>
    <mergeCell ref="B75:B76"/>
    <mergeCell ref="P22:P23"/>
    <mergeCell ref="A74:A115"/>
    <mergeCell ref="O120:P120"/>
    <mergeCell ref="B61:B64"/>
    <mergeCell ref="B83:B87"/>
    <mergeCell ref="O26:O29"/>
    <mergeCell ref="P24:P25"/>
    <mergeCell ref="P38:P41"/>
    <mergeCell ref="B72:B73"/>
    <mergeCell ref="B22:B25"/>
    <mergeCell ref="B109:B110"/>
    <mergeCell ref="P74:P115"/>
  </mergeCells>
  <phoneticPr fontId="2" type="noConversion"/>
  <conditionalFormatting sqref="E7:E22">
    <cfRule type="expression" dxfId="5" priority="1">
      <formula>ISTEXT(E7)</formula>
    </cfRule>
  </conditionalFormatting>
  <conditionalFormatting sqref="E24:E81">
    <cfRule type="expression" dxfId="4" priority="5">
      <formula>ISTEXT(E24)</formula>
    </cfRule>
  </conditionalFormatting>
  <conditionalFormatting sqref="E83:E86">
    <cfRule type="expression" dxfId="3" priority="4">
      <formula>ISTEXT(E83)</formula>
    </cfRule>
  </conditionalFormatting>
  <conditionalFormatting sqref="E88:E104">
    <cfRule type="expression" dxfId="2" priority="3">
      <formula>ISTEXT(E88)</formula>
    </cfRule>
  </conditionalFormatting>
  <conditionalFormatting sqref="E106:E115">
    <cfRule type="expression" dxfId="1" priority="2">
      <formula>ISTEXT(E106)</formula>
    </cfRule>
  </conditionalFormatting>
  <conditionalFormatting sqref="F43">
    <cfRule type="expression" dxfId="0" priority="6">
      <formula>ISTEXT(F43)</formula>
    </cfRule>
  </conditionalFormatting>
  <dataValidations count="5">
    <dataValidation type="list" allowBlank="1" showInputMessage="1" sqref="N7:N115" xr:uid="{00000000-0002-0000-0000-000000000000}">
      <formula1>과목개설유형</formula1>
    </dataValidation>
    <dataValidation type="list" allowBlank="1" showInputMessage="1" sqref="M7:M116 N116" xr:uid="{00000000-0002-0000-0000-000001000000}">
      <formula1>비고</formula1>
    </dataValidation>
    <dataValidation type="list" allowBlank="1" showInputMessage="1" showErrorMessage="1" sqref="C30:C41 C53:C57 C69:C73 C88:C95 C108:C116" xr:uid="{00000000-0002-0000-0000-000002000000}">
      <formula1>과목유형2</formula1>
    </dataValidation>
    <dataValidation type="list" allowBlank="1" showInputMessage="1" showErrorMessage="1" sqref="B7:B10 B12:B96 B98:B116" xr:uid="{00000000-0002-0000-0000-000003000000}">
      <formula1>교과군</formula1>
    </dataValidation>
    <dataValidation type="list" allowBlank="1" showInputMessage="1" showErrorMessage="1" sqref="C7:C29 C42:C52 C58:C68 C74:C87 C96:C107" xr:uid="{00000000-0002-0000-0000-000004000000}">
      <formula1>과목유형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2026입학생</vt:lpstr>
      <vt:lpstr>'2026입학생'!Print_Area</vt:lpstr>
      <vt:lpstr>'2026입학생'!Print_Titles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김연희</cp:lastModifiedBy>
  <cp:lastPrinted>2025-08-26T00:33:11Z</cp:lastPrinted>
  <dcterms:created xsi:type="dcterms:W3CDTF">2024-04-19T11:26:34Z</dcterms:created>
  <dcterms:modified xsi:type="dcterms:W3CDTF">2026-08-12T15:57:53Z</dcterms:modified>
</cp:coreProperties>
</file>