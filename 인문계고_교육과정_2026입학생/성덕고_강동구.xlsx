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1DCC68DF-60B6-4DDA-8CAB-40E73BDBD1A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2026입학생" sheetId="1" r:id="rId1"/>
  </sheets>
  <externalReferences>
    <externalReference r:id="rId2"/>
  </externalReferences>
  <definedNames>
    <definedName name="_xlnm.Print_Area" localSheetId="0">'2026입학생'!$A$1:$P$127</definedName>
    <definedName name="_xlnm.Print_Titles" localSheetId="0">'2026입학생'!$3:$5</definedName>
    <definedName name="공통">#REF!</definedName>
    <definedName name="과목개설유형">[1]데이터베이스!$K$14:$K$16</definedName>
    <definedName name="과목유형" localSheetId="0">[1]데이터베이스!$D$2:$D$5</definedName>
    <definedName name="과목유형">#REF!</definedName>
    <definedName name="과목유형2">[1]데이터베이스!$D$3:$D$5</definedName>
    <definedName name="교과군">#REF!</definedName>
    <definedName name="기본학점">[1]데이터베이스!$D$13:$E$168</definedName>
    <definedName name="비고" localSheetId="0">[1]데이터베이스!$J$14:$J$21</definedName>
    <definedName name="비고">#REF!</definedName>
    <definedName name="일반">#REF!</definedName>
    <definedName name="진로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6" i="1" l="1"/>
  <c r="K116" i="1"/>
  <c r="K118" i="1" s="1"/>
  <c r="J116" i="1"/>
  <c r="I116" i="1"/>
  <c r="I118" i="1" s="1"/>
  <c r="O115" i="1"/>
  <c r="H114" i="1"/>
  <c r="H116" i="1" s="1"/>
  <c r="G114" i="1"/>
  <c r="G116" i="1" s="1"/>
  <c r="E113" i="1"/>
  <c r="E112" i="1"/>
  <c r="E111" i="1"/>
  <c r="E110" i="1"/>
  <c r="E109" i="1"/>
  <c r="E108" i="1"/>
  <c r="E107" i="1"/>
  <c r="E106" i="1"/>
  <c r="E105" i="1"/>
  <c r="E104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O40" i="1"/>
  <c r="E40" i="1"/>
  <c r="E39" i="1"/>
  <c r="E38" i="1"/>
  <c r="E37" i="1"/>
  <c r="O36" i="1"/>
  <c r="E36" i="1"/>
  <c r="E35" i="1"/>
  <c r="E34" i="1"/>
  <c r="E33" i="1"/>
  <c r="E32" i="1"/>
  <c r="E31" i="1"/>
  <c r="O30" i="1"/>
  <c r="E30" i="1"/>
  <c r="E29" i="1"/>
  <c r="E28" i="1"/>
  <c r="E27" i="1"/>
  <c r="O26" i="1"/>
  <c r="E26" i="1"/>
  <c r="E25" i="1"/>
  <c r="O24" i="1"/>
  <c r="E24" i="1"/>
  <c r="E23" i="1"/>
  <c r="O22" i="1"/>
  <c r="E22" i="1"/>
  <c r="E21" i="1"/>
  <c r="E20" i="1"/>
  <c r="E19" i="1"/>
  <c r="E18" i="1"/>
  <c r="O17" i="1"/>
  <c r="E17" i="1"/>
  <c r="E16" i="1"/>
  <c r="E15" i="1"/>
  <c r="E14" i="1"/>
  <c r="E13" i="1"/>
  <c r="O12" i="1"/>
  <c r="E12" i="1"/>
  <c r="E11" i="1"/>
  <c r="E10" i="1"/>
  <c r="E9" i="1"/>
  <c r="E8" i="1"/>
  <c r="O7" i="1"/>
  <c r="E7" i="1"/>
  <c r="G118" i="1" l="1"/>
  <c r="O118" i="1" s="1"/>
  <c r="O116" i="1"/>
  <c r="O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</commentList>
</comments>
</file>

<file path=xl/sharedStrings.xml><?xml version="1.0" encoding="utf-8"?>
<sst xmlns="http://schemas.openxmlformats.org/spreadsheetml/2006/main" count="285" uniqueCount="148">
  <si>
    <t>성덕고등학교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</si>
  <si>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</si>
  <si>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</si>
  <si>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</si>
  <si>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</si>
  <si>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</si>
  <si>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</si>
  <si>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</si>
  <si>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</si>
  <si>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</si>
  <si>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</si>
  <si>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</si>
  <si>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</si>
  <si>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</si>
  <si>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</si>
  <si>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</si>
  <si>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</si>
  <si>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</si>
  <si>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</si>
  <si>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</si>
  <si>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</si>
  <si>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</si>
  <si>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</si>
  <si>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</si>
  <si>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독서와 작문 </t>
  </si>
  <si>
    <t xml:space="preserve">화법과 언어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</si>
  <si>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</si>
  <si>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</si>
  <si>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</si>
  <si>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</si>
  <si>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</si>
  <si>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</si>
  <si>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</si>
  <si>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</si>
  <si>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</si>
  <si>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</si>
  <si>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</si>
  <si>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</si>
  <si>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</si>
  <si>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</si>
  <si>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</si>
  <si>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</si>
  <si>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</si>
  <si>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</si>
  <si>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</si>
  <si>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</si>
  <si>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</si>
  <si>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</si>
  <si>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</si>
  <si>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</si>
  <si>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</si>
  <si>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</si>
  <si>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 xml:space="preserve">스포츠 생활1 </t>
  </si>
  <si>
    <t xml:space="preserve">스포츠 생활2 </t>
  </si>
  <si>
    <t>진로</t>
  </si>
  <si>
    <t>스포츠 문화</t>
  </si>
  <si>
    <t>스포츠 과학</t>
  </si>
  <si>
    <t>예 술</t>
  </si>
  <si>
    <t>미술</t>
  </si>
  <si>
    <t xml:space="preserve">미술 창작 </t>
  </si>
  <si>
    <t>음악</t>
  </si>
  <si>
    <t>음악 연주와 창작</t>
  </si>
  <si>
    <t>기술∙가정/정보</t>
  </si>
  <si>
    <t xml:space="preserve">생애 설계와 자립 </t>
  </si>
  <si>
    <t>2학년 선택</t>
  </si>
  <si>
    <t>영어 발표와 토론</t>
  </si>
  <si>
    <t>12
(택4)</t>
  </si>
  <si>
    <t>세계시민과 지리</t>
  </si>
  <si>
    <t>사회와 문화</t>
  </si>
  <si>
    <t>현대사회와 윤리</t>
  </si>
  <si>
    <t>동아시아 역사 기행</t>
  </si>
  <si>
    <t>물리학</t>
  </si>
  <si>
    <t>화학</t>
  </si>
  <si>
    <t xml:space="preserve">생명과학 </t>
  </si>
  <si>
    <t>지구과학</t>
  </si>
  <si>
    <t>정보</t>
  </si>
  <si>
    <t>제2외국어/한문</t>
  </si>
  <si>
    <t>중국어</t>
  </si>
  <si>
    <t xml:space="preserve">일본어 </t>
  </si>
  <si>
    <t>한문</t>
  </si>
  <si>
    <t>기하</t>
  </si>
  <si>
    <t>세계 문화와 영어</t>
  </si>
  <si>
    <t>세계사</t>
  </si>
  <si>
    <t xml:space="preserve">도시의 미래 탐구 </t>
  </si>
  <si>
    <t>정치</t>
  </si>
  <si>
    <t>경제</t>
  </si>
  <si>
    <t xml:space="preserve">윤리와 사상 </t>
  </si>
  <si>
    <t xml:space="preserve">역학과 에너지 </t>
  </si>
  <si>
    <t xml:space="preserve">물질과 에너지 </t>
  </si>
  <si>
    <t xml:space="preserve">세포와 물질대사 </t>
  </si>
  <si>
    <t xml:space="preserve">지구시스템과학 </t>
  </si>
  <si>
    <t xml:space="preserve">인공지능 기초 </t>
  </si>
  <si>
    <t xml:space="preserve">중국어 회화 </t>
  </si>
  <si>
    <t>일본어 회화</t>
  </si>
  <si>
    <t>언어생활과 한자</t>
  </si>
  <si>
    <t>3학년 선택</t>
  </si>
  <si>
    <t>미적분Ⅱ</t>
  </si>
  <si>
    <t>15
(택5)</t>
  </si>
  <si>
    <t>경제 수학</t>
  </si>
  <si>
    <t>한국지리 탐구</t>
  </si>
  <si>
    <t xml:space="preserve">법과 사회 </t>
  </si>
  <si>
    <t>역사로 탐구하는 현대 세계</t>
  </si>
  <si>
    <t>사회문제 탐구</t>
  </si>
  <si>
    <t>윤리문제 탐구</t>
  </si>
  <si>
    <t>전자기와 양자</t>
  </si>
  <si>
    <t>화학 반응의 세계</t>
  </si>
  <si>
    <t>생물의 유전</t>
  </si>
  <si>
    <t>행성우주과학</t>
  </si>
  <si>
    <t>융합과학 탐구</t>
  </si>
  <si>
    <t>로봇과 공학세계</t>
  </si>
  <si>
    <t>지식 재산 일반</t>
  </si>
  <si>
    <t xml:space="preserve">심화 중국어 </t>
  </si>
  <si>
    <t>심화 일본어</t>
  </si>
  <si>
    <t>교 양</t>
  </si>
  <si>
    <t>생태와 환경</t>
  </si>
  <si>
    <t>2
(택1)</t>
  </si>
  <si>
    <t>인간과 심리</t>
  </si>
  <si>
    <t xml:space="preserve">교육의 이해 </t>
  </si>
  <si>
    <t xml:space="preserve">인간과 경제활동 </t>
  </si>
  <si>
    <t>논술</t>
  </si>
  <si>
    <t>직무 의사소통</t>
  </si>
  <si>
    <t>8
(택2)</t>
  </si>
  <si>
    <t>독서 토론과 글쓰기</t>
  </si>
  <si>
    <t>영미 문학 읽기</t>
  </si>
  <si>
    <t xml:space="preserve">심화 영어 독해와 작문 </t>
  </si>
  <si>
    <t>수학과제 탐구</t>
  </si>
  <si>
    <t>국제 관계의 이해</t>
  </si>
  <si>
    <t>여행지리</t>
  </si>
  <si>
    <t>금융과 경제생활</t>
  </si>
  <si>
    <t>인문학과 윤리</t>
  </si>
  <si>
    <t>기후변화와 지속가능한 세계</t>
  </si>
  <si>
    <t>과학의 역사와 문화</t>
  </si>
  <si>
    <t>기후변화와 환경생태</t>
  </si>
  <si>
    <t>화학 실험</t>
  </si>
  <si>
    <t>특목고 선택 과목</t>
  </si>
  <si>
    <t>생명과학 실험</t>
  </si>
  <si>
    <t>데이터 과학</t>
  </si>
  <si>
    <t>창의 공학 설계</t>
  </si>
  <si>
    <t xml:space="preserve">중국 문화 </t>
  </si>
  <si>
    <t>일본 문화</t>
  </si>
  <si>
    <t>`</t>
  </si>
  <si>
    <t>4
(택2)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</si>
  <si>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</si>
  <si>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</si>
  <si>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</si>
  <si>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</si>
  <si>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</si>
  <si>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- 2학년~3학년 선택과목에서 영어, 수학 과목은 4과목만 수강 가능함.
- 2학년~3학년 기술･가정/정보/제2외국어/한문 과목에서 3과목 이상 꼭 수강해야 함. (기술･가정/정보/제2외국어/한문/교양 과목 필수학점이 총 16학점임)
-3학년 2학기 화학실험, 생명과학 실험은 융합 선택과목이지만 5등급 상대평가와 5단계 성취평가를 병행함.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</si>
</sst>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0" fillId="0" borderId="22" xfId="0" applyBorder="1"/>
    <xf numFmtId="0" fontId="2" fillId="0" borderId="3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89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 vertical="center" wrapText="1"/>
    </xf>
    <xf numFmtId="0" fontId="8" fillId="4" borderId="72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49" fontId="2" fillId="0" borderId="71" xfId="0" applyNumberFormat="1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shrinkToFi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shrinkToFit="1"/>
    </xf>
    <xf numFmtId="49" fontId="2" fillId="0" borderId="64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shrinkToFi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shrinkToFit="1"/>
    </xf>
    <xf numFmtId="49" fontId="2" fillId="0" borderId="51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shrinkToFi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shrinkToFit="1"/>
    </xf>
    <xf numFmtId="49" fontId="2" fillId="0" borderId="57" xfId="0" applyNumberFormat="1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91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92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shrinkToFi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9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shrinkToFit="1"/>
    </xf>
    <xf numFmtId="0" fontId="2" fillId="0" borderId="45" xfId="0" quotePrefix="1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52" xfId="0" quotePrefix="1" applyFont="1" applyBorder="1" applyAlignment="1">
      <alignment horizontal="center" vertical="center" wrapText="1"/>
    </xf>
    <xf numFmtId="0" fontId="2" fillId="0" borderId="51" xfId="0" quotePrefix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0" fillId="0" borderId="94" xfId="0" applyFont="1" applyBorder="1" applyAlignment="1">
      <alignment horizontal="center" vertical="center" wrapText="1"/>
    </xf>
    <xf numFmtId="49" fontId="2" fillId="0" borderId="95" xfId="0" applyNumberFormat="1" applyFont="1" applyBorder="1" applyAlignment="1">
      <alignment horizontal="center" vertical="center" wrapText="1"/>
    </xf>
    <xf numFmtId="0" fontId="2" fillId="0" borderId="95" xfId="0" applyFont="1" applyBorder="1" applyAlignment="1">
      <alignment horizontal="center" vertical="center" shrinkToFit="1"/>
    </xf>
    <xf numFmtId="0" fontId="2" fillId="2" borderId="96" xfId="0" applyFont="1" applyFill="1" applyBorder="1" applyAlignment="1">
      <alignment horizontal="center" vertical="center" wrapText="1"/>
    </xf>
    <xf numFmtId="0" fontId="2" fillId="2" borderId="97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99" xfId="0" applyFont="1" applyFill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49" fontId="2" fillId="0" borderId="95" xfId="0" applyNumberFormat="1" applyFont="1" applyBorder="1" applyAlignment="1">
      <alignment horizontal="center" vertical="center" shrinkToFit="1"/>
    </xf>
    <xf numFmtId="0" fontId="2" fillId="0" borderId="95" xfId="0" applyFont="1" applyBorder="1" applyAlignment="1">
      <alignment horizontal="center" vertical="center" wrapText="1"/>
    </xf>
    <xf numFmtId="0" fontId="10" fillId="0" borderId="100" xfId="0" applyFont="1" applyBorder="1" applyAlignment="1">
      <alignment horizontal="center" vertical="center" wrapText="1"/>
    </xf>
    <xf numFmtId="49" fontId="10" fillId="0" borderId="59" xfId="0" applyNumberFormat="1" applyFont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10" fillId="2" borderId="71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49" fontId="10" fillId="0" borderId="59" xfId="0" applyNumberFormat="1" applyFont="1" applyBorder="1" applyAlignment="1">
      <alignment horizontal="center" vertical="center" shrinkToFit="1"/>
    </xf>
    <xf numFmtId="49" fontId="2" fillId="0" borderId="59" xfId="0" applyNumberFormat="1" applyFont="1" applyBorder="1" applyAlignment="1">
      <alignment horizontal="center" vertical="center" wrapText="1"/>
    </xf>
    <xf numFmtId="49" fontId="10" fillId="0" borderId="36" xfId="0" applyNumberFormat="1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3" xfId="0" quotePrefix="1" applyFont="1" applyFill="1" applyBorder="1" applyAlignment="1">
      <alignment horizontal="center" vertical="center" wrapText="1"/>
    </xf>
    <xf numFmtId="0" fontId="10" fillId="2" borderId="103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49" fontId="10" fillId="0" borderId="36" xfId="0" applyNumberFormat="1" applyFont="1" applyBorder="1" applyAlignment="1">
      <alignment horizontal="center" vertical="center" shrinkToFit="1"/>
    </xf>
    <xf numFmtId="49" fontId="10" fillId="0" borderId="32" xfId="0" applyNumberFormat="1" applyFont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33" xfId="0" quotePrefix="1" applyFont="1" applyFill="1" applyBorder="1" applyAlignment="1">
      <alignment horizontal="center" vertical="center" wrapText="1"/>
    </xf>
    <xf numFmtId="0" fontId="10" fillId="2" borderId="104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49" fontId="10" fillId="0" borderId="32" xfId="0" applyNumberFormat="1" applyFont="1" applyBorder="1" applyAlignment="1">
      <alignment horizontal="center" vertical="center" shrinkToFit="1"/>
    </xf>
    <xf numFmtId="0" fontId="10" fillId="0" borderId="105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3" xfId="0" quotePrefix="1" applyFont="1" applyBorder="1" applyAlignment="1">
      <alignment horizontal="center" vertical="center" wrapText="1"/>
    </xf>
    <xf numFmtId="0" fontId="10" fillId="0" borderId="10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3" xfId="0" quotePrefix="1" applyFont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49" fontId="10" fillId="0" borderId="40" xfId="0" applyNumberFormat="1" applyFont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8" xfId="0" quotePrefix="1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49" fontId="2" fillId="0" borderId="49" xfId="0" applyNumberFormat="1" applyFont="1" applyBorder="1" applyAlignment="1">
      <alignment horizontal="center" vertical="center" shrinkToFit="1"/>
    </xf>
    <xf numFmtId="49" fontId="2" fillId="0" borderId="40" xfId="0" applyNumberFormat="1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shrinkToFit="1"/>
    </xf>
    <xf numFmtId="0" fontId="2" fillId="2" borderId="108" xfId="0" applyFont="1" applyFill="1" applyBorder="1" applyAlignment="1">
      <alignment horizontal="center" vertical="center" wrapText="1"/>
    </xf>
    <xf numFmtId="0" fontId="2" fillId="2" borderId="109" xfId="0" applyFont="1" applyFill="1" applyBorder="1" applyAlignment="1">
      <alignment horizontal="center" vertical="center" wrapText="1"/>
    </xf>
    <xf numFmtId="0" fontId="10" fillId="2" borderId="62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center" vertical="center" wrapText="1"/>
    </xf>
    <xf numFmtId="0" fontId="10" fillId="0" borderId="110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shrinkToFit="1"/>
    </xf>
    <xf numFmtId="49" fontId="2" fillId="0" borderId="108" xfId="0" applyNumberFormat="1" applyFont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41" xfId="0" quotePrefix="1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49" fontId="2" fillId="0" borderId="40" xfId="0" applyNumberFormat="1" applyFont="1" applyBorder="1" applyAlignment="1">
      <alignment horizontal="center" vertical="center" shrinkToFit="1"/>
    </xf>
    <xf numFmtId="0" fontId="10" fillId="0" borderId="45" xfId="0" quotePrefix="1" applyFont="1" applyBorder="1" applyAlignment="1">
      <alignment horizontal="center" vertical="center" wrapText="1"/>
    </xf>
    <xf numFmtId="0" fontId="10" fillId="0" borderId="57" xfId="0" quotePrefix="1" applyFont="1" applyBorder="1" applyAlignment="1">
      <alignment horizontal="center" vertical="center" wrapText="1"/>
    </xf>
    <xf numFmtId="0" fontId="10" fillId="0" borderId="52" xfId="0" quotePrefix="1" applyFont="1" applyBorder="1" applyAlignment="1">
      <alignment horizontal="center" vertical="center" wrapText="1"/>
    </xf>
    <xf numFmtId="0" fontId="10" fillId="0" borderId="51" xfId="0" quotePrefix="1" applyFont="1" applyBorder="1" applyAlignment="1">
      <alignment horizontal="center" vertical="center" wrapText="1"/>
    </xf>
    <xf numFmtId="0" fontId="10" fillId="2" borderId="34" xfId="0" quotePrefix="1" applyFont="1" applyFill="1" applyBorder="1" applyAlignment="1">
      <alignment horizontal="center" vertical="center" wrapText="1"/>
    </xf>
    <xf numFmtId="49" fontId="10" fillId="0" borderId="30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2" borderId="42" xfId="0" quotePrefix="1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49" fontId="2" fillId="0" borderId="49" xfId="0" applyNumberFormat="1" applyFont="1" applyBorder="1" applyAlignment="1">
      <alignment horizontal="center" vertical="center" wrapText="1"/>
    </xf>
    <xf numFmtId="0" fontId="10" fillId="2" borderId="44" xfId="0" quotePrefix="1" applyFont="1" applyFill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0" fillId="2" borderId="111" xfId="0" applyFont="1" applyFill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11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shrinkToFit="1"/>
    </xf>
    <xf numFmtId="0" fontId="10" fillId="0" borderId="56" xfId="0" applyFont="1" applyBorder="1" applyAlignment="1">
      <alignment horizontal="center" vertical="center" wrapText="1"/>
    </xf>
    <xf numFmtId="0" fontId="10" fillId="0" borderId="113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11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2" borderId="114" xfId="0" applyFont="1" applyFill="1" applyBorder="1" applyAlignment="1">
      <alignment horizontal="center" vertical="center" wrapText="1"/>
    </xf>
    <xf numFmtId="0" fontId="10" fillId="2" borderId="113" xfId="0" applyFont="1" applyFill="1" applyBorder="1" applyAlignment="1">
      <alignment horizontal="center" vertical="center" wrapText="1"/>
    </xf>
    <xf numFmtId="0" fontId="10" fillId="2" borderId="92" xfId="0" applyFont="1" applyFill="1" applyBorder="1" applyAlignment="1">
      <alignment horizontal="center" vertical="center" wrapText="1"/>
    </xf>
    <xf numFmtId="0" fontId="10" fillId="0" borderId="103" xfId="0" quotePrefix="1" applyFont="1" applyBorder="1" applyAlignment="1">
      <alignment horizontal="center" vertical="center" wrapText="1"/>
    </xf>
    <xf numFmtId="0" fontId="10" fillId="0" borderId="104" xfId="0" quotePrefix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115" xfId="0" applyFont="1" applyBorder="1" applyAlignment="1">
      <alignment horizontal="center" vertical="center" wrapText="1"/>
    </xf>
    <xf numFmtId="49" fontId="2" fillId="0" borderId="54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0" fillId="0" borderId="116" xfId="0" applyFont="1" applyBorder="1" applyAlignment="1">
      <alignment horizontal="center" vertical="center" wrapText="1"/>
    </xf>
    <xf numFmtId="49" fontId="2" fillId="0" borderId="108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0" fontId="10" fillId="0" borderId="117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0" fillId="0" borderId="67" xfId="0" applyBorder="1"/>
    <xf numFmtId="0" fontId="10" fillId="0" borderId="94" xfId="0" applyFont="1" applyBorder="1" applyAlignment="1">
      <alignment horizontal="center" vertical="center" wrapText="1"/>
    </xf>
    <xf numFmtId="0" fontId="0" fillId="0" borderId="97" xfId="0" applyBorder="1"/>
    <xf numFmtId="0" fontId="0" fillId="0" borderId="96" xfId="0" applyBorder="1"/>
    <xf numFmtId="0" fontId="10" fillId="0" borderId="77" xfId="0" applyFont="1" applyBorder="1" applyAlignment="1">
      <alignment horizontal="center" vertical="center" wrapText="1"/>
    </xf>
    <xf numFmtId="0" fontId="0" fillId="0" borderId="89" xfId="0" applyBorder="1"/>
    <xf numFmtId="0" fontId="2" fillId="0" borderId="15" xfId="0" applyFont="1" applyBorder="1" applyAlignment="1">
      <alignment horizontal="center" vertical="center" wrapText="1"/>
    </xf>
    <xf numFmtId="0" fontId="0" fillId="0" borderId="19" xfId="0" applyBorder="1"/>
    <xf numFmtId="0" fontId="4" fillId="4" borderId="99" xfId="0" applyFont="1" applyFill="1" applyBorder="1" applyAlignment="1">
      <alignment horizontal="center" vertical="center" wrapText="1"/>
    </xf>
    <xf numFmtId="0" fontId="0" fillId="0" borderId="26" xfId="0" applyBorder="1"/>
    <xf numFmtId="0" fontId="4" fillId="4" borderId="118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" xfId="0" applyBorder="1"/>
    <xf numFmtId="0" fontId="10" fillId="0" borderId="26" xfId="0" applyFont="1" applyBorder="1" applyAlignment="1">
      <alignment horizontal="center" vertical="center" wrapText="1"/>
    </xf>
    <xf numFmtId="0" fontId="0" fillId="0" borderId="21" xfId="0" applyBorder="1"/>
    <xf numFmtId="0" fontId="10" fillId="0" borderId="74" xfId="0" applyFont="1" applyBorder="1" applyAlignment="1">
      <alignment horizontal="center" vertical="center" wrapText="1"/>
    </xf>
    <xf numFmtId="0" fontId="0" fillId="0" borderId="107" xfId="0" applyBorder="1"/>
    <xf numFmtId="0" fontId="2" fillId="0" borderId="75" xfId="0" applyFont="1" applyBorder="1" applyAlignment="1">
      <alignment horizontal="center" vertical="center" wrapText="1"/>
    </xf>
    <xf numFmtId="0" fontId="0" fillId="0" borderId="23" xfId="0" applyBorder="1"/>
    <xf numFmtId="0" fontId="2" fillId="0" borderId="118" xfId="0" applyFont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0" fillId="0" borderId="16" xfId="0" applyBorder="1"/>
    <xf numFmtId="0" fontId="0" fillId="0" borderId="13" xfId="0" applyBorder="1"/>
    <xf numFmtId="0" fontId="0" fillId="0" borderId="9" xfId="0" applyBorder="1"/>
    <xf numFmtId="0" fontId="10" fillId="0" borderId="10" xfId="0" applyFont="1" applyBorder="1" applyAlignment="1">
      <alignment horizontal="center" vertical="center" wrapText="1"/>
    </xf>
    <xf numFmtId="0" fontId="0" fillId="0" borderId="20" xfId="0" applyBorder="1"/>
    <xf numFmtId="0" fontId="0" fillId="0" borderId="79" xfId="0" applyBorder="1"/>
    <xf numFmtId="0" fontId="5" fillId="0" borderId="5" xfId="0" applyFont="1" applyBorder="1" applyAlignment="1">
      <alignment horizontal="left" vertical="center" wrapText="1"/>
    </xf>
    <xf numFmtId="0" fontId="0" fillId="0" borderId="5" xfId="0" applyBorder="1"/>
    <xf numFmtId="0" fontId="10" fillId="0" borderId="95" xfId="0" applyFont="1" applyBorder="1" applyAlignment="1">
      <alignment horizontal="center" vertical="center" wrapText="1"/>
    </xf>
    <xf numFmtId="0" fontId="7" fillId="4" borderId="119" xfId="0" applyFont="1" applyFill="1" applyBorder="1" applyAlignment="1">
      <alignment horizontal="left" vertical="top" wrapText="1"/>
    </xf>
    <xf numFmtId="0" fontId="0" fillId="0" borderId="24" xfId="0" applyBorder="1"/>
    <xf numFmtId="0" fontId="0" fillId="0" borderId="80" xfId="0" applyBorder="1"/>
    <xf numFmtId="0" fontId="0" fillId="0" borderId="22" xfId="0" applyBorder="1"/>
    <xf numFmtId="0" fontId="0" fillId="0" borderId="0" xfId="0" applyAlignment="1">
      <alignment horizontal="center" vertical="center"/>
    </xf>
    <xf numFmtId="0" fontId="0" fillId="0" borderId="81" xfId="0" applyBorder="1"/>
    <xf numFmtId="0" fontId="0" fillId="0" borderId="6" xfId="0" applyBorder="1"/>
    <xf numFmtId="0" fontId="0" fillId="0" borderId="1" xfId="0" applyBorder="1"/>
    <xf numFmtId="0" fontId="10" fillId="0" borderId="8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0" fillId="0" borderId="65" xfId="0" applyBorder="1"/>
    <xf numFmtId="0" fontId="10" fillId="0" borderId="118" xfId="0" applyFont="1" applyBorder="1" applyAlignment="1">
      <alignment horizontal="center" vertical="center" wrapText="1"/>
    </xf>
    <xf numFmtId="0" fontId="2" fillId="2" borderId="10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4" fillId="4" borderId="120" xfId="0" applyFont="1" applyFill="1" applyBorder="1" applyAlignment="1">
      <alignment horizontal="center" vertical="center" wrapText="1"/>
    </xf>
    <xf numFmtId="0" fontId="0" fillId="0" borderId="85" xfId="0" applyBorder="1"/>
    <xf numFmtId="0" fontId="2" fillId="0" borderId="9" xfId="0" applyFont="1" applyBorder="1" applyAlignment="1">
      <alignment horizontal="center" vertical="center" wrapText="1"/>
    </xf>
    <xf numFmtId="0" fontId="0" fillId="0" borderId="46" xfId="0" applyBorder="1"/>
    <xf numFmtId="0" fontId="6" fillId="0" borderId="0" xfId="0" applyFont="1" applyAlignment="1">
      <alignment horizontal="center" vertical="center" wrapText="1"/>
    </xf>
    <xf numFmtId="0" fontId="4" fillId="4" borderId="119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1" xfId="0" applyBorder="1"/>
    <xf numFmtId="0" fontId="10" fillId="5" borderId="1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0" fontId="0" fillId="0" borderId="83" xfId="0" applyBorder="1"/>
    <xf numFmtId="0" fontId="10" fillId="0" borderId="69" xfId="0" applyFont="1" applyBorder="1" applyAlignment="1">
      <alignment horizontal="center" vertical="center" wrapText="1"/>
    </xf>
    <xf numFmtId="0" fontId="10" fillId="5" borderId="81" xfId="0" applyFont="1" applyFill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2" fillId="0" borderId="8" xfId="0" applyFont="1" applyBorder="1" applyAlignment="1">
      <alignment horizontal="center" vertical="center" wrapText="1"/>
    </xf>
    <xf numFmtId="0" fontId="10" fillId="0" borderId="100" xfId="0" applyFont="1" applyBorder="1" applyAlignment="1">
      <alignment horizontal="center" vertical="center" wrapText="1"/>
    </xf>
    <xf numFmtId="0" fontId="0" fillId="0" borderId="84" xfId="0" applyBorder="1"/>
    <xf numFmtId="0" fontId="4" fillId="4" borderId="98" xfId="0" applyFont="1" applyFill="1" applyBorder="1" applyAlignment="1">
      <alignment horizontal="center" vertical="center" wrapText="1"/>
    </xf>
    <xf numFmtId="0" fontId="0" fillId="0" borderId="27" xfId="0" applyBorder="1"/>
    <xf numFmtId="0" fontId="4" fillId="4" borderId="121" xfId="0" applyFont="1" applyFill="1" applyBorder="1" applyAlignment="1">
      <alignment horizontal="center" vertical="center" wrapText="1"/>
    </xf>
    <xf numFmtId="0" fontId="0" fillId="0" borderId="3" xfId="0" applyBorder="1"/>
    <xf numFmtId="0" fontId="10" fillId="0" borderId="76" xfId="0" applyFont="1" applyBorder="1" applyAlignment="1">
      <alignment horizontal="center" vertical="center" wrapText="1"/>
    </xf>
    <xf numFmtId="0" fontId="0" fillId="0" borderId="82" xfId="0" applyBorder="1"/>
    <xf numFmtId="0" fontId="10" fillId="0" borderId="11" xfId="0" applyFont="1" applyBorder="1" applyAlignment="1">
      <alignment horizontal="center" vertical="center" wrapText="1"/>
    </xf>
    <xf numFmtId="0" fontId="0" fillId="0" borderId="78" xfId="0" applyBorder="1"/>
    <xf numFmtId="0" fontId="10" fillId="0" borderId="8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</cellXfs>
  <cellStyles count="1">
    <cellStyle name="표준" xfId="0" builtinId="0"/>
  </cellStyles>
  <dxfs count="18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6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  <cell r="D2" t="str">
            <v>공통</v>
          </cell>
        </row>
        <row r="3">
          <cell r="D3" t="str">
            <v>일반</v>
          </cell>
        </row>
        <row r="4">
          <cell r="D4" t="str">
            <v>진로</v>
          </cell>
        </row>
        <row r="5">
          <cell r="D5" t="str">
            <v>융합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J14" t="str">
            <v>특목고 선택 과목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J15" t="str">
            <v>전문 교과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J16" t="str">
            <v>교육감 승인 과목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  <cell r="J17" t="str">
            <v>교육감 승인 과목(특목고)</v>
          </cell>
        </row>
        <row r="18">
          <cell r="D18" t="str">
            <v>기본수학1</v>
          </cell>
          <cell r="E18">
            <v>4</v>
          </cell>
          <cell r="J18" t="str">
            <v>교육감 승인 과목(전문)</v>
          </cell>
        </row>
        <row r="19">
          <cell r="D19" t="str">
            <v>기본수학2</v>
          </cell>
          <cell r="E19">
            <v>4</v>
          </cell>
          <cell r="J19" t="str">
            <v>타 시·도 교육감 승인 과목</v>
          </cell>
        </row>
        <row r="20">
          <cell r="D20" t="str">
            <v>공통영어1</v>
          </cell>
          <cell r="E20">
            <v>4</v>
          </cell>
          <cell r="J20" t="str">
            <v>타 시·도 교육감 승인 과목(특목고)</v>
          </cell>
        </row>
        <row r="21">
          <cell r="D21" t="str">
            <v>공통영어2</v>
          </cell>
          <cell r="E21">
            <v>4</v>
          </cell>
          <cell r="J21" t="str">
            <v>타 시·도 교육감 승인 과목(전문)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E7:H113" headerRowCount="0" totalsRowShown="0" headerRowDxfId="17" dataDxfId="16" tableBorderDxfId="15">
  <tableColumns count="4">
    <tableColumn id="1" xr3:uid="{00000000-0010-0000-0000-000001000000}" name="기준_x000a_학점" headerRowDxfId="14" dataDxfId="13">
      <calculatedColumnFormula>IFERROR(VLOOKUP(D7, 기본학점, 2, FALSE), "")</calculatedColumnFormula>
    </tableColumn>
    <tableColumn id="2" xr3:uid="{00000000-0010-0000-0000-000002000000}" name="운영_x000a_학점" headerRowDxfId="12" dataDxfId="11"/>
    <tableColumn id="3" xr3:uid="{00000000-0010-0000-0000-000003000000}" name="세로 막대형1" headerRowDxfId="10" dataDxfId="9"/>
    <tableColumn id="4" xr3:uid="{00000000-0010-0000-0000-000004000000}" name="세로 막대형2" headerRowDxfId="8" dataDxf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7"/>
  <sheetViews>
    <sheetView tabSelected="1" zoomScale="115" zoomScaleNormal="115" zoomScaleSheetLayoutView="100" workbookViewId="0">
      <selection activeCell="K7" sqref="K7"/>
    </sheetView>
  </sheetViews>
  <sheetFormatPr defaultRowHeight="14.15" x14ac:dyDescent="0.3"/>
  <cols>
    <col min="1" max="1" width="4.46484375" style="233" customWidth="1"/>
    <col min="2" max="2" width="13" style="234" customWidth="1"/>
    <col min="3" max="3" width="7.53125" style="234" customWidth="1"/>
    <col min="4" max="4" width="22" style="234" customWidth="1"/>
    <col min="5" max="12" width="5.796875" style="234" customWidth="1"/>
    <col min="13" max="14" width="13.6640625" style="234" customWidth="1"/>
    <col min="15" max="16" width="5.796875" style="234" customWidth="1"/>
    <col min="17" max="17" width="6" customWidth="1"/>
    <col min="247" max="247" width="3.53125" customWidth="1"/>
    <col min="248" max="250" width="5.796875" customWidth="1"/>
    <col min="251" max="251" width="11.1328125" customWidth="1"/>
    <col min="252" max="259" width="5.796875" customWidth="1"/>
    <col min="260" max="260" width="7.1328125" customWidth="1"/>
    <col min="261" max="262" width="5.796875" customWidth="1"/>
    <col min="263" max="263" width="6" customWidth="1"/>
    <col min="503" max="503" width="3.53125" customWidth="1"/>
    <col min="504" max="506" width="5.796875" customWidth="1"/>
    <col min="507" max="507" width="11.1328125" customWidth="1"/>
    <col min="508" max="515" width="5.796875" customWidth="1"/>
    <col min="516" max="516" width="7.1328125" customWidth="1"/>
    <col min="517" max="518" width="5.796875" customWidth="1"/>
    <col min="519" max="519" width="6" customWidth="1"/>
    <col min="759" max="759" width="3.53125" customWidth="1"/>
    <col min="760" max="762" width="5.796875" customWidth="1"/>
    <col min="763" max="763" width="11.1328125" customWidth="1"/>
    <col min="764" max="771" width="5.796875" customWidth="1"/>
    <col min="772" max="772" width="7.1328125" customWidth="1"/>
    <col min="773" max="774" width="5.796875" customWidth="1"/>
    <col min="775" max="775" width="6" customWidth="1"/>
    <col min="1015" max="1015" width="3.53125" customWidth="1"/>
    <col min="1016" max="1018" width="5.796875" customWidth="1"/>
    <col min="1019" max="1019" width="11.1328125" customWidth="1"/>
    <col min="1020" max="1027" width="5.796875" customWidth="1"/>
    <col min="1028" max="1028" width="7.1328125" customWidth="1"/>
    <col min="1029" max="1030" width="5.796875" customWidth="1"/>
    <col min="1031" max="1031" width="6" customWidth="1"/>
    <col min="1271" max="1271" width="3.53125" customWidth="1"/>
    <col min="1272" max="1274" width="5.796875" customWidth="1"/>
    <col min="1275" max="1275" width="11.1328125" customWidth="1"/>
    <col min="1276" max="1283" width="5.796875" customWidth="1"/>
    <col min="1284" max="1284" width="7.1328125" customWidth="1"/>
    <col min="1285" max="1286" width="5.796875" customWidth="1"/>
    <col min="1287" max="1287" width="6" customWidth="1"/>
    <col min="1527" max="1527" width="3.53125" customWidth="1"/>
    <col min="1528" max="1530" width="5.796875" customWidth="1"/>
    <col min="1531" max="1531" width="11.1328125" customWidth="1"/>
    <col min="1532" max="1539" width="5.796875" customWidth="1"/>
    <col min="1540" max="1540" width="7.1328125" customWidth="1"/>
    <col min="1541" max="1542" width="5.796875" customWidth="1"/>
    <col min="1543" max="1543" width="6" customWidth="1"/>
    <col min="1783" max="1783" width="3.53125" customWidth="1"/>
    <col min="1784" max="1786" width="5.796875" customWidth="1"/>
    <col min="1787" max="1787" width="11.1328125" customWidth="1"/>
    <col min="1788" max="1795" width="5.796875" customWidth="1"/>
    <col min="1796" max="1796" width="7.1328125" customWidth="1"/>
    <col min="1797" max="1798" width="5.796875" customWidth="1"/>
    <col min="1799" max="1799" width="6" customWidth="1"/>
    <col min="2039" max="2039" width="3.53125" customWidth="1"/>
    <col min="2040" max="2042" width="5.796875" customWidth="1"/>
    <col min="2043" max="2043" width="11.1328125" customWidth="1"/>
    <col min="2044" max="2051" width="5.796875" customWidth="1"/>
    <col min="2052" max="2052" width="7.1328125" customWidth="1"/>
    <col min="2053" max="2054" width="5.796875" customWidth="1"/>
    <col min="2055" max="2055" width="6" customWidth="1"/>
    <col min="2295" max="2295" width="3.53125" customWidth="1"/>
    <col min="2296" max="2298" width="5.796875" customWidth="1"/>
    <col min="2299" max="2299" width="11.1328125" customWidth="1"/>
    <col min="2300" max="2307" width="5.796875" customWidth="1"/>
    <col min="2308" max="2308" width="7.1328125" customWidth="1"/>
    <col min="2309" max="2310" width="5.796875" customWidth="1"/>
    <col min="2311" max="2311" width="6" customWidth="1"/>
    <col min="2551" max="2551" width="3.53125" customWidth="1"/>
    <col min="2552" max="2554" width="5.796875" customWidth="1"/>
    <col min="2555" max="2555" width="11.1328125" customWidth="1"/>
    <col min="2556" max="2563" width="5.796875" customWidth="1"/>
    <col min="2564" max="2564" width="7.1328125" customWidth="1"/>
    <col min="2565" max="2566" width="5.796875" customWidth="1"/>
    <col min="2567" max="2567" width="6" customWidth="1"/>
    <col min="2807" max="2807" width="3.53125" customWidth="1"/>
    <col min="2808" max="2810" width="5.796875" customWidth="1"/>
    <col min="2811" max="2811" width="11.1328125" customWidth="1"/>
    <col min="2812" max="2819" width="5.796875" customWidth="1"/>
    <col min="2820" max="2820" width="7.1328125" customWidth="1"/>
    <col min="2821" max="2822" width="5.796875" customWidth="1"/>
    <col min="2823" max="2823" width="6" customWidth="1"/>
    <col min="3063" max="3063" width="3.53125" customWidth="1"/>
    <col min="3064" max="3066" width="5.796875" customWidth="1"/>
    <col min="3067" max="3067" width="11.1328125" customWidth="1"/>
    <col min="3068" max="3075" width="5.796875" customWidth="1"/>
    <col min="3076" max="3076" width="7.1328125" customWidth="1"/>
    <col min="3077" max="3078" width="5.796875" customWidth="1"/>
    <col min="3079" max="3079" width="6" customWidth="1"/>
    <col min="3319" max="3319" width="3.53125" customWidth="1"/>
    <col min="3320" max="3322" width="5.796875" customWidth="1"/>
    <col min="3323" max="3323" width="11.1328125" customWidth="1"/>
    <col min="3324" max="3331" width="5.796875" customWidth="1"/>
    <col min="3332" max="3332" width="7.1328125" customWidth="1"/>
    <col min="3333" max="3334" width="5.796875" customWidth="1"/>
    <col min="3335" max="3335" width="6" customWidth="1"/>
    <col min="3575" max="3575" width="3.53125" customWidth="1"/>
    <col min="3576" max="3578" width="5.796875" customWidth="1"/>
    <col min="3579" max="3579" width="11.1328125" customWidth="1"/>
    <col min="3580" max="3587" width="5.796875" customWidth="1"/>
    <col min="3588" max="3588" width="7.1328125" customWidth="1"/>
    <col min="3589" max="3590" width="5.796875" customWidth="1"/>
    <col min="3591" max="3591" width="6" customWidth="1"/>
    <col min="3831" max="3831" width="3.53125" customWidth="1"/>
    <col min="3832" max="3834" width="5.796875" customWidth="1"/>
    <col min="3835" max="3835" width="11.1328125" customWidth="1"/>
    <col min="3836" max="3843" width="5.796875" customWidth="1"/>
    <col min="3844" max="3844" width="7.1328125" customWidth="1"/>
    <col min="3845" max="3846" width="5.796875" customWidth="1"/>
    <col min="3847" max="3847" width="6" customWidth="1"/>
    <col min="4087" max="4087" width="3.53125" customWidth="1"/>
    <col min="4088" max="4090" width="5.796875" customWidth="1"/>
    <col min="4091" max="4091" width="11.1328125" customWidth="1"/>
    <col min="4092" max="4099" width="5.796875" customWidth="1"/>
    <col min="4100" max="4100" width="7.1328125" customWidth="1"/>
    <col min="4101" max="4102" width="5.796875" customWidth="1"/>
    <col min="4103" max="4103" width="6" customWidth="1"/>
    <col min="4343" max="4343" width="3.53125" customWidth="1"/>
    <col min="4344" max="4346" width="5.796875" customWidth="1"/>
    <col min="4347" max="4347" width="11.1328125" customWidth="1"/>
    <col min="4348" max="4355" width="5.796875" customWidth="1"/>
    <col min="4356" max="4356" width="7.1328125" customWidth="1"/>
    <col min="4357" max="4358" width="5.796875" customWidth="1"/>
    <col min="4359" max="4359" width="6" customWidth="1"/>
    <col min="4599" max="4599" width="3.53125" customWidth="1"/>
    <col min="4600" max="4602" width="5.796875" customWidth="1"/>
    <col min="4603" max="4603" width="11.1328125" customWidth="1"/>
    <col min="4604" max="4611" width="5.796875" customWidth="1"/>
    <col min="4612" max="4612" width="7.1328125" customWidth="1"/>
    <col min="4613" max="4614" width="5.796875" customWidth="1"/>
    <col min="4615" max="4615" width="6" customWidth="1"/>
    <col min="4855" max="4855" width="3.53125" customWidth="1"/>
    <col min="4856" max="4858" width="5.796875" customWidth="1"/>
    <col min="4859" max="4859" width="11.1328125" customWidth="1"/>
    <col min="4860" max="4867" width="5.796875" customWidth="1"/>
    <col min="4868" max="4868" width="7.1328125" customWidth="1"/>
    <col min="4869" max="4870" width="5.796875" customWidth="1"/>
    <col min="4871" max="4871" width="6" customWidth="1"/>
    <col min="5111" max="5111" width="3.53125" customWidth="1"/>
    <col min="5112" max="5114" width="5.796875" customWidth="1"/>
    <col min="5115" max="5115" width="11.1328125" customWidth="1"/>
    <col min="5116" max="5123" width="5.796875" customWidth="1"/>
    <col min="5124" max="5124" width="7.1328125" customWidth="1"/>
    <col min="5125" max="5126" width="5.796875" customWidth="1"/>
    <col min="5127" max="5127" width="6" customWidth="1"/>
    <col min="5367" max="5367" width="3.53125" customWidth="1"/>
    <col min="5368" max="5370" width="5.796875" customWidth="1"/>
    <col min="5371" max="5371" width="11.1328125" customWidth="1"/>
    <col min="5372" max="5379" width="5.796875" customWidth="1"/>
    <col min="5380" max="5380" width="7.1328125" customWidth="1"/>
    <col min="5381" max="5382" width="5.796875" customWidth="1"/>
    <col min="5383" max="5383" width="6" customWidth="1"/>
    <col min="5623" max="5623" width="3.53125" customWidth="1"/>
    <col min="5624" max="5626" width="5.796875" customWidth="1"/>
    <col min="5627" max="5627" width="11.1328125" customWidth="1"/>
    <col min="5628" max="5635" width="5.796875" customWidth="1"/>
    <col min="5636" max="5636" width="7.1328125" customWidth="1"/>
    <col min="5637" max="5638" width="5.796875" customWidth="1"/>
    <col min="5639" max="5639" width="6" customWidth="1"/>
    <col min="5879" max="5879" width="3.53125" customWidth="1"/>
    <col min="5880" max="5882" width="5.796875" customWidth="1"/>
    <col min="5883" max="5883" width="11.1328125" customWidth="1"/>
    <col min="5884" max="5891" width="5.796875" customWidth="1"/>
    <col min="5892" max="5892" width="7.1328125" customWidth="1"/>
    <col min="5893" max="5894" width="5.796875" customWidth="1"/>
    <col min="5895" max="5895" width="6" customWidth="1"/>
    <col min="6135" max="6135" width="3.53125" customWidth="1"/>
    <col min="6136" max="6138" width="5.796875" customWidth="1"/>
    <col min="6139" max="6139" width="11.1328125" customWidth="1"/>
    <col min="6140" max="6147" width="5.796875" customWidth="1"/>
    <col min="6148" max="6148" width="7.1328125" customWidth="1"/>
    <col min="6149" max="6150" width="5.796875" customWidth="1"/>
    <col min="6151" max="6151" width="6" customWidth="1"/>
    <col min="6391" max="6391" width="3.53125" customWidth="1"/>
    <col min="6392" max="6394" width="5.796875" customWidth="1"/>
    <col min="6395" max="6395" width="11.1328125" customWidth="1"/>
    <col min="6396" max="6403" width="5.796875" customWidth="1"/>
    <col min="6404" max="6404" width="7.1328125" customWidth="1"/>
    <col min="6405" max="6406" width="5.796875" customWidth="1"/>
    <col min="6407" max="6407" width="6" customWidth="1"/>
    <col min="6647" max="6647" width="3.53125" customWidth="1"/>
    <col min="6648" max="6650" width="5.796875" customWidth="1"/>
    <col min="6651" max="6651" width="11.1328125" customWidth="1"/>
    <col min="6652" max="6659" width="5.796875" customWidth="1"/>
    <col min="6660" max="6660" width="7.1328125" customWidth="1"/>
    <col min="6661" max="6662" width="5.796875" customWidth="1"/>
    <col min="6663" max="6663" width="6" customWidth="1"/>
    <col min="6903" max="6903" width="3.53125" customWidth="1"/>
    <col min="6904" max="6906" width="5.796875" customWidth="1"/>
    <col min="6907" max="6907" width="11.1328125" customWidth="1"/>
    <col min="6908" max="6915" width="5.796875" customWidth="1"/>
    <col min="6916" max="6916" width="7.1328125" customWidth="1"/>
    <col min="6917" max="6918" width="5.796875" customWidth="1"/>
    <col min="6919" max="6919" width="6" customWidth="1"/>
    <col min="7159" max="7159" width="3.53125" customWidth="1"/>
    <col min="7160" max="7162" width="5.796875" customWidth="1"/>
    <col min="7163" max="7163" width="11.1328125" customWidth="1"/>
    <col min="7164" max="7171" width="5.796875" customWidth="1"/>
    <col min="7172" max="7172" width="7.1328125" customWidth="1"/>
    <col min="7173" max="7174" width="5.796875" customWidth="1"/>
    <col min="7175" max="7175" width="6" customWidth="1"/>
    <col min="7415" max="7415" width="3.53125" customWidth="1"/>
    <col min="7416" max="7418" width="5.796875" customWidth="1"/>
    <col min="7419" max="7419" width="11.1328125" customWidth="1"/>
    <col min="7420" max="7427" width="5.796875" customWidth="1"/>
    <col min="7428" max="7428" width="7.1328125" customWidth="1"/>
    <col min="7429" max="7430" width="5.796875" customWidth="1"/>
    <col min="7431" max="7431" width="6" customWidth="1"/>
    <col min="7671" max="7671" width="3.53125" customWidth="1"/>
    <col min="7672" max="7674" width="5.796875" customWidth="1"/>
    <col min="7675" max="7675" width="11.1328125" customWidth="1"/>
    <col min="7676" max="7683" width="5.796875" customWidth="1"/>
    <col min="7684" max="7684" width="7.1328125" customWidth="1"/>
    <col min="7685" max="7686" width="5.796875" customWidth="1"/>
    <col min="7687" max="7687" width="6" customWidth="1"/>
    <col min="7927" max="7927" width="3.53125" customWidth="1"/>
    <col min="7928" max="7930" width="5.796875" customWidth="1"/>
    <col min="7931" max="7931" width="11.1328125" customWidth="1"/>
    <col min="7932" max="7939" width="5.796875" customWidth="1"/>
    <col min="7940" max="7940" width="7.1328125" customWidth="1"/>
    <col min="7941" max="7942" width="5.796875" customWidth="1"/>
    <col min="7943" max="7943" width="6" customWidth="1"/>
    <col min="8183" max="8183" width="3.53125" customWidth="1"/>
    <col min="8184" max="8186" width="5.796875" customWidth="1"/>
    <col min="8187" max="8187" width="11.1328125" customWidth="1"/>
    <col min="8188" max="8195" width="5.796875" customWidth="1"/>
    <col min="8196" max="8196" width="7.1328125" customWidth="1"/>
    <col min="8197" max="8198" width="5.796875" customWidth="1"/>
    <col min="8199" max="8199" width="6" customWidth="1"/>
    <col min="8439" max="8439" width="3.53125" customWidth="1"/>
    <col min="8440" max="8442" width="5.796875" customWidth="1"/>
    <col min="8443" max="8443" width="11.1328125" customWidth="1"/>
    <col min="8444" max="8451" width="5.796875" customWidth="1"/>
    <col min="8452" max="8452" width="7.1328125" customWidth="1"/>
    <col min="8453" max="8454" width="5.796875" customWidth="1"/>
    <col min="8455" max="8455" width="6" customWidth="1"/>
    <col min="8695" max="8695" width="3.53125" customWidth="1"/>
    <col min="8696" max="8698" width="5.796875" customWidth="1"/>
    <col min="8699" max="8699" width="11.1328125" customWidth="1"/>
    <col min="8700" max="8707" width="5.796875" customWidth="1"/>
    <col min="8708" max="8708" width="7.1328125" customWidth="1"/>
    <col min="8709" max="8710" width="5.796875" customWidth="1"/>
    <col min="8711" max="8711" width="6" customWidth="1"/>
    <col min="8951" max="8951" width="3.53125" customWidth="1"/>
    <col min="8952" max="8954" width="5.796875" customWidth="1"/>
    <col min="8955" max="8955" width="11.1328125" customWidth="1"/>
    <col min="8956" max="8963" width="5.796875" customWidth="1"/>
    <col min="8964" max="8964" width="7.1328125" customWidth="1"/>
    <col min="8965" max="8966" width="5.796875" customWidth="1"/>
    <col min="8967" max="8967" width="6" customWidth="1"/>
    <col min="9207" max="9207" width="3.53125" customWidth="1"/>
    <col min="9208" max="9210" width="5.796875" customWidth="1"/>
    <col min="9211" max="9211" width="11.1328125" customWidth="1"/>
    <col min="9212" max="9219" width="5.796875" customWidth="1"/>
    <col min="9220" max="9220" width="7.1328125" customWidth="1"/>
    <col min="9221" max="9222" width="5.796875" customWidth="1"/>
    <col min="9223" max="9223" width="6" customWidth="1"/>
    <col min="9463" max="9463" width="3.53125" customWidth="1"/>
    <col min="9464" max="9466" width="5.796875" customWidth="1"/>
    <col min="9467" max="9467" width="11.1328125" customWidth="1"/>
    <col min="9468" max="9475" width="5.796875" customWidth="1"/>
    <col min="9476" max="9476" width="7.1328125" customWidth="1"/>
    <col min="9477" max="9478" width="5.796875" customWidth="1"/>
    <col min="9479" max="9479" width="6" customWidth="1"/>
    <col min="9719" max="9719" width="3.53125" customWidth="1"/>
    <col min="9720" max="9722" width="5.796875" customWidth="1"/>
    <col min="9723" max="9723" width="11.1328125" customWidth="1"/>
    <col min="9724" max="9731" width="5.796875" customWidth="1"/>
    <col min="9732" max="9732" width="7.1328125" customWidth="1"/>
    <col min="9733" max="9734" width="5.796875" customWidth="1"/>
    <col min="9735" max="9735" width="6" customWidth="1"/>
    <col min="9975" max="9975" width="3.53125" customWidth="1"/>
    <col min="9976" max="9978" width="5.796875" customWidth="1"/>
    <col min="9979" max="9979" width="11.1328125" customWidth="1"/>
    <col min="9980" max="9987" width="5.796875" customWidth="1"/>
    <col min="9988" max="9988" width="7.1328125" customWidth="1"/>
    <col min="9989" max="9990" width="5.796875" customWidth="1"/>
    <col min="9991" max="9991" width="6" customWidth="1"/>
    <col min="10231" max="10231" width="3.53125" customWidth="1"/>
    <col min="10232" max="10234" width="5.796875" customWidth="1"/>
    <col min="10235" max="10235" width="11.1328125" customWidth="1"/>
    <col min="10236" max="10243" width="5.796875" customWidth="1"/>
    <col min="10244" max="10244" width="7.1328125" customWidth="1"/>
    <col min="10245" max="10246" width="5.796875" customWidth="1"/>
    <col min="10247" max="10247" width="6" customWidth="1"/>
    <col min="10487" max="10487" width="3.53125" customWidth="1"/>
    <col min="10488" max="10490" width="5.796875" customWidth="1"/>
    <col min="10491" max="10491" width="11.1328125" customWidth="1"/>
    <col min="10492" max="10499" width="5.796875" customWidth="1"/>
    <col min="10500" max="10500" width="7.1328125" customWidth="1"/>
    <col min="10501" max="10502" width="5.796875" customWidth="1"/>
    <col min="10503" max="10503" width="6" customWidth="1"/>
    <col min="10743" max="10743" width="3.53125" customWidth="1"/>
    <col min="10744" max="10746" width="5.796875" customWidth="1"/>
    <col min="10747" max="10747" width="11.1328125" customWidth="1"/>
    <col min="10748" max="10755" width="5.796875" customWidth="1"/>
    <col min="10756" max="10756" width="7.1328125" customWidth="1"/>
    <col min="10757" max="10758" width="5.796875" customWidth="1"/>
    <col min="10759" max="10759" width="6" customWidth="1"/>
    <col min="10999" max="10999" width="3.53125" customWidth="1"/>
    <col min="11000" max="11002" width="5.796875" customWidth="1"/>
    <col min="11003" max="11003" width="11.1328125" customWidth="1"/>
    <col min="11004" max="11011" width="5.796875" customWidth="1"/>
    <col min="11012" max="11012" width="7.1328125" customWidth="1"/>
    <col min="11013" max="11014" width="5.796875" customWidth="1"/>
    <col min="11015" max="11015" width="6" customWidth="1"/>
    <col min="11255" max="11255" width="3.53125" customWidth="1"/>
    <col min="11256" max="11258" width="5.796875" customWidth="1"/>
    <col min="11259" max="11259" width="11.1328125" customWidth="1"/>
    <col min="11260" max="11267" width="5.796875" customWidth="1"/>
    <col min="11268" max="11268" width="7.1328125" customWidth="1"/>
    <col min="11269" max="11270" width="5.796875" customWidth="1"/>
    <col min="11271" max="11271" width="6" customWidth="1"/>
    <col min="11511" max="11511" width="3.53125" customWidth="1"/>
    <col min="11512" max="11514" width="5.796875" customWidth="1"/>
    <col min="11515" max="11515" width="11.1328125" customWidth="1"/>
    <col min="11516" max="11523" width="5.796875" customWidth="1"/>
    <col min="11524" max="11524" width="7.1328125" customWidth="1"/>
    <col min="11525" max="11526" width="5.796875" customWidth="1"/>
    <col min="11527" max="11527" width="6" customWidth="1"/>
    <col min="11767" max="11767" width="3.53125" customWidth="1"/>
    <col min="11768" max="11770" width="5.796875" customWidth="1"/>
    <col min="11771" max="11771" width="11.1328125" customWidth="1"/>
    <col min="11772" max="11779" width="5.796875" customWidth="1"/>
    <col min="11780" max="11780" width="7.1328125" customWidth="1"/>
    <col min="11781" max="11782" width="5.796875" customWidth="1"/>
    <col min="11783" max="11783" width="6" customWidth="1"/>
    <col min="12023" max="12023" width="3.53125" customWidth="1"/>
    <col min="12024" max="12026" width="5.796875" customWidth="1"/>
    <col min="12027" max="12027" width="11.1328125" customWidth="1"/>
    <col min="12028" max="12035" width="5.796875" customWidth="1"/>
    <col min="12036" max="12036" width="7.1328125" customWidth="1"/>
    <col min="12037" max="12038" width="5.796875" customWidth="1"/>
    <col min="12039" max="12039" width="6" customWidth="1"/>
    <col min="12279" max="12279" width="3.53125" customWidth="1"/>
    <col min="12280" max="12282" width="5.796875" customWidth="1"/>
    <col min="12283" max="12283" width="11.1328125" customWidth="1"/>
    <col min="12284" max="12291" width="5.796875" customWidth="1"/>
    <col min="12292" max="12292" width="7.1328125" customWidth="1"/>
    <col min="12293" max="12294" width="5.796875" customWidth="1"/>
    <col min="12295" max="12295" width="6" customWidth="1"/>
    <col min="12535" max="12535" width="3.53125" customWidth="1"/>
    <col min="12536" max="12538" width="5.796875" customWidth="1"/>
    <col min="12539" max="12539" width="11.1328125" customWidth="1"/>
    <col min="12540" max="12547" width="5.796875" customWidth="1"/>
    <col min="12548" max="12548" width="7.1328125" customWidth="1"/>
    <col min="12549" max="12550" width="5.796875" customWidth="1"/>
    <col min="12551" max="12551" width="6" customWidth="1"/>
    <col min="12791" max="12791" width="3.53125" customWidth="1"/>
    <col min="12792" max="12794" width="5.796875" customWidth="1"/>
    <col min="12795" max="12795" width="11.1328125" customWidth="1"/>
    <col min="12796" max="12803" width="5.796875" customWidth="1"/>
    <col min="12804" max="12804" width="7.1328125" customWidth="1"/>
    <col min="12805" max="12806" width="5.796875" customWidth="1"/>
    <col min="12807" max="12807" width="6" customWidth="1"/>
    <col min="13047" max="13047" width="3.53125" customWidth="1"/>
    <col min="13048" max="13050" width="5.796875" customWidth="1"/>
    <col min="13051" max="13051" width="11.1328125" customWidth="1"/>
    <col min="13052" max="13059" width="5.796875" customWidth="1"/>
    <col min="13060" max="13060" width="7.1328125" customWidth="1"/>
    <col min="13061" max="13062" width="5.796875" customWidth="1"/>
    <col min="13063" max="13063" width="6" customWidth="1"/>
    <col min="13303" max="13303" width="3.53125" customWidth="1"/>
    <col min="13304" max="13306" width="5.796875" customWidth="1"/>
    <col min="13307" max="13307" width="11.1328125" customWidth="1"/>
    <col min="13308" max="13315" width="5.796875" customWidth="1"/>
    <col min="13316" max="13316" width="7.1328125" customWidth="1"/>
    <col min="13317" max="13318" width="5.796875" customWidth="1"/>
    <col min="13319" max="13319" width="6" customWidth="1"/>
    <col min="13559" max="13559" width="3.53125" customWidth="1"/>
    <col min="13560" max="13562" width="5.796875" customWidth="1"/>
    <col min="13563" max="13563" width="11.1328125" customWidth="1"/>
    <col min="13564" max="13571" width="5.796875" customWidth="1"/>
    <col min="13572" max="13572" width="7.1328125" customWidth="1"/>
    <col min="13573" max="13574" width="5.796875" customWidth="1"/>
    <col min="13575" max="13575" width="6" customWidth="1"/>
    <col min="13815" max="13815" width="3.53125" customWidth="1"/>
    <col min="13816" max="13818" width="5.796875" customWidth="1"/>
    <col min="13819" max="13819" width="11.1328125" customWidth="1"/>
    <col min="13820" max="13827" width="5.796875" customWidth="1"/>
    <col min="13828" max="13828" width="7.1328125" customWidth="1"/>
    <col min="13829" max="13830" width="5.796875" customWidth="1"/>
    <col min="13831" max="13831" width="6" customWidth="1"/>
    <col min="14071" max="14071" width="3.53125" customWidth="1"/>
    <col min="14072" max="14074" width="5.796875" customWidth="1"/>
    <col min="14075" max="14075" width="11.1328125" customWidth="1"/>
    <col min="14076" max="14083" width="5.796875" customWidth="1"/>
    <col min="14084" max="14084" width="7.1328125" customWidth="1"/>
    <col min="14085" max="14086" width="5.796875" customWidth="1"/>
    <col min="14087" max="14087" width="6" customWidth="1"/>
    <col min="14327" max="14327" width="3.53125" customWidth="1"/>
    <col min="14328" max="14330" width="5.796875" customWidth="1"/>
    <col min="14331" max="14331" width="11.1328125" customWidth="1"/>
    <col min="14332" max="14339" width="5.796875" customWidth="1"/>
    <col min="14340" max="14340" width="7.1328125" customWidth="1"/>
    <col min="14341" max="14342" width="5.796875" customWidth="1"/>
    <col min="14343" max="14343" width="6" customWidth="1"/>
    <col min="14583" max="14583" width="3.53125" customWidth="1"/>
    <col min="14584" max="14586" width="5.796875" customWidth="1"/>
    <col min="14587" max="14587" width="11.1328125" customWidth="1"/>
    <col min="14588" max="14595" width="5.796875" customWidth="1"/>
    <col min="14596" max="14596" width="7.1328125" customWidth="1"/>
    <col min="14597" max="14598" width="5.796875" customWidth="1"/>
    <col min="14599" max="14599" width="6" customWidth="1"/>
    <col min="14839" max="14839" width="3.53125" customWidth="1"/>
    <col min="14840" max="14842" width="5.796875" customWidth="1"/>
    <col min="14843" max="14843" width="11.1328125" customWidth="1"/>
    <col min="14844" max="14851" width="5.796875" customWidth="1"/>
    <col min="14852" max="14852" width="7.1328125" customWidth="1"/>
    <col min="14853" max="14854" width="5.796875" customWidth="1"/>
    <col min="14855" max="14855" width="6" customWidth="1"/>
    <col min="15095" max="15095" width="3.53125" customWidth="1"/>
    <col min="15096" max="15098" width="5.796875" customWidth="1"/>
    <col min="15099" max="15099" width="11.1328125" customWidth="1"/>
    <col min="15100" max="15107" width="5.796875" customWidth="1"/>
    <col min="15108" max="15108" width="7.1328125" customWidth="1"/>
    <col min="15109" max="15110" width="5.796875" customWidth="1"/>
    <col min="15111" max="15111" width="6" customWidth="1"/>
    <col min="15351" max="15351" width="3.53125" customWidth="1"/>
    <col min="15352" max="15354" width="5.796875" customWidth="1"/>
    <col min="15355" max="15355" width="11.1328125" customWidth="1"/>
    <col min="15356" max="15363" width="5.796875" customWidth="1"/>
    <col min="15364" max="15364" width="7.1328125" customWidth="1"/>
    <col min="15365" max="15366" width="5.796875" customWidth="1"/>
    <col min="15367" max="15367" width="6" customWidth="1"/>
    <col min="15607" max="15607" width="3.53125" customWidth="1"/>
    <col min="15608" max="15610" width="5.796875" customWidth="1"/>
    <col min="15611" max="15611" width="11.1328125" customWidth="1"/>
    <col min="15612" max="15619" width="5.796875" customWidth="1"/>
    <col min="15620" max="15620" width="7.1328125" customWidth="1"/>
    <col min="15621" max="15622" width="5.796875" customWidth="1"/>
    <col min="15623" max="15623" width="6" customWidth="1"/>
    <col min="15863" max="15863" width="3.53125" customWidth="1"/>
    <col min="15864" max="15866" width="5.796875" customWidth="1"/>
    <col min="15867" max="15867" width="11.1328125" customWidth="1"/>
    <col min="15868" max="15875" width="5.796875" customWidth="1"/>
    <col min="15876" max="15876" width="7.1328125" customWidth="1"/>
    <col min="15877" max="15878" width="5.796875" customWidth="1"/>
    <col min="15879" max="15879" width="6" customWidth="1"/>
    <col min="16119" max="16119" width="3.53125" customWidth="1"/>
    <col min="16120" max="16122" width="5.796875" customWidth="1"/>
    <col min="16123" max="16123" width="11.1328125" customWidth="1"/>
    <col min="16124" max="16131" width="5.796875" customWidth="1"/>
    <col min="16132" max="16132" width="7.1328125" customWidth="1"/>
    <col min="16133" max="16134" width="5.796875" customWidth="1"/>
    <col min="16135" max="16135" width="6" customWidth="1"/>
  </cols>
  <sheetData>
    <row r="1" spans="1:16" ht="47.25" customHeight="1" x14ac:dyDescent="0.3">
      <c r="A1" s="287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29.25" customHeight="1" thickBot="1" x14ac:dyDescent="0.35">
      <c r="A2" s="264" t="s">
        <v>1</v>
      </c>
      <c r="B2" s="265"/>
      <c r="C2" s="265"/>
      <c r="D2" s="265"/>
      <c r="E2" s="6"/>
      <c r="F2" s="7"/>
      <c r="G2" s="8"/>
      <c r="H2" s="8"/>
      <c r="I2" s="8"/>
      <c r="J2" s="8"/>
      <c r="K2" s="281"/>
      <c r="L2" s="265"/>
      <c r="M2" s="265"/>
      <c r="N2" s="265"/>
      <c r="O2" s="265"/>
      <c r="P2" s="265"/>
    </row>
    <row r="3" spans="1:16" ht="16.5" customHeight="1" x14ac:dyDescent="0.3">
      <c r="A3" s="288" t="s">
        <v>2</v>
      </c>
      <c r="B3" s="283" t="s">
        <v>3</v>
      </c>
      <c r="C3" s="246" t="s">
        <v>4</v>
      </c>
      <c r="D3" s="246" t="s">
        <v>5</v>
      </c>
      <c r="E3" s="246" t="s">
        <v>6</v>
      </c>
      <c r="F3" s="246" t="s">
        <v>7</v>
      </c>
      <c r="G3" s="292" t="s">
        <v>8</v>
      </c>
      <c r="H3" s="293"/>
      <c r="I3" s="292" t="s">
        <v>9</v>
      </c>
      <c r="J3" s="293"/>
      <c r="K3" s="292" t="s">
        <v>10</v>
      </c>
      <c r="L3" s="293"/>
      <c r="M3" s="246" t="s">
        <v>11</v>
      </c>
      <c r="N3" s="304" t="s">
        <v>12</v>
      </c>
      <c r="O3" s="246" t="s">
        <v>13</v>
      </c>
      <c r="P3" s="277" t="s">
        <v>14</v>
      </c>
    </row>
    <row r="4" spans="1:16" ht="14.5" customHeight="1" x14ac:dyDescent="0.3">
      <c r="A4" s="289"/>
      <c r="B4" s="241"/>
      <c r="C4" s="247"/>
      <c r="D4" s="247"/>
      <c r="E4" s="247"/>
      <c r="F4" s="247"/>
      <c r="G4" s="302" t="s">
        <v>15</v>
      </c>
      <c r="H4" s="244" t="s">
        <v>16</v>
      </c>
      <c r="I4" s="302" t="s">
        <v>15</v>
      </c>
      <c r="J4" s="244" t="s">
        <v>16</v>
      </c>
      <c r="K4" s="302" t="s">
        <v>15</v>
      </c>
      <c r="L4" s="244" t="s">
        <v>16</v>
      </c>
      <c r="M4" s="247"/>
      <c r="N4" s="243"/>
      <c r="O4" s="247"/>
      <c r="P4" s="258"/>
    </row>
    <row r="5" spans="1:16" ht="14.5" customHeight="1" thickBot="1" x14ac:dyDescent="0.35">
      <c r="A5" s="290"/>
      <c r="B5" s="284"/>
      <c r="C5" s="248"/>
      <c r="D5" s="248"/>
      <c r="E5" s="248"/>
      <c r="F5" s="248"/>
      <c r="G5" s="303"/>
      <c r="H5" s="245"/>
      <c r="I5" s="303"/>
      <c r="J5" s="245"/>
      <c r="K5" s="303"/>
      <c r="L5" s="245"/>
      <c r="M5" s="248"/>
      <c r="N5" s="305"/>
      <c r="O5" s="248"/>
      <c r="P5" s="278"/>
    </row>
    <row r="6" spans="1:16" ht="14.5" hidden="1" customHeight="1" thickBot="1" x14ac:dyDescent="0.35">
      <c r="A6" s="9"/>
      <c r="B6" s="10"/>
      <c r="C6" s="13"/>
      <c r="D6" s="14"/>
      <c r="G6" s="15"/>
      <c r="H6" s="16"/>
      <c r="I6" s="17"/>
      <c r="J6" s="16"/>
      <c r="K6" s="17"/>
      <c r="L6" s="18"/>
      <c r="M6" s="19"/>
      <c r="N6" s="20"/>
      <c r="O6" s="11"/>
      <c r="P6" s="12"/>
    </row>
    <row r="7" spans="1:16" ht="15.65" customHeight="1" thickBot="1" x14ac:dyDescent="0.35">
      <c r="A7" s="296" t="s">
        <v>17</v>
      </c>
      <c r="B7" s="282" t="s">
        <v>18</v>
      </c>
      <c r="C7" s="22" t="s">
        <v>19</v>
      </c>
      <c r="D7" s="23" t="s">
        <v>20</v>
      </c>
      <c r="E7" s="24">
        <f t="shared" ref="E7:E38" si="0">IFERROR(VLOOKUP(D7, 기본학점, 2, FALSE), "")</f>
        <v>4</v>
      </c>
      <c r="F7" s="25">
        <v>4</v>
      </c>
      <c r="G7" s="26">
        <v>4</v>
      </c>
      <c r="H7" s="27"/>
      <c r="I7" s="28"/>
      <c r="J7" s="29"/>
      <c r="K7" s="28"/>
      <c r="L7" s="30"/>
      <c r="M7" s="31"/>
      <c r="N7" s="32"/>
      <c r="O7" s="253">
        <f>SUM(F7:F11)</f>
        <v>22</v>
      </c>
      <c r="P7" s="294">
        <v>8</v>
      </c>
    </row>
    <row r="8" spans="1:16" ht="15.65" customHeight="1" x14ac:dyDescent="0.3">
      <c r="A8" s="289"/>
      <c r="B8" s="241"/>
      <c r="C8" s="33" t="s">
        <v>19</v>
      </c>
      <c r="D8" s="34" t="s">
        <v>21</v>
      </c>
      <c r="E8" s="35">
        <f t="shared" si="0"/>
        <v>4</v>
      </c>
      <c r="F8" s="36">
        <v>4</v>
      </c>
      <c r="G8" s="37"/>
      <c r="H8" s="38">
        <v>4</v>
      </c>
      <c r="I8" s="39"/>
      <c r="J8" s="40"/>
      <c r="K8" s="39"/>
      <c r="L8" s="41"/>
      <c r="M8" s="42"/>
      <c r="N8" s="43"/>
      <c r="O8" s="247"/>
      <c r="P8" s="258"/>
    </row>
    <row r="9" spans="1:16" ht="15.65" customHeight="1" x14ac:dyDescent="0.3">
      <c r="A9" s="289"/>
      <c r="B9" s="241"/>
      <c r="C9" s="33" t="s">
        <v>22</v>
      </c>
      <c r="D9" s="34" t="s">
        <v>23</v>
      </c>
      <c r="E9" s="35">
        <f t="shared" si="0"/>
        <v>4</v>
      </c>
      <c r="F9" s="36">
        <v>5</v>
      </c>
      <c r="G9" s="37"/>
      <c r="H9" s="38"/>
      <c r="I9" s="39">
        <v>5</v>
      </c>
      <c r="J9" s="40"/>
      <c r="K9" s="39"/>
      <c r="L9" s="41"/>
      <c r="M9" s="42"/>
      <c r="N9" s="43"/>
      <c r="O9" s="247"/>
      <c r="P9" s="258"/>
    </row>
    <row r="10" spans="1:16" ht="15.65" customHeight="1" x14ac:dyDescent="0.3">
      <c r="A10" s="289"/>
      <c r="B10" s="241"/>
      <c r="C10" s="33" t="s">
        <v>22</v>
      </c>
      <c r="D10" s="34" t="s">
        <v>24</v>
      </c>
      <c r="E10" s="35">
        <f t="shared" si="0"/>
        <v>4</v>
      </c>
      <c r="F10" s="36">
        <v>5</v>
      </c>
      <c r="G10" s="37"/>
      <c r="H10" s="38"/>
      <c r="I10" s="39"/>
      <c r="J10" s="40">
        <v>5</v>
      </c>
      <c r="K10" s="39"/>
      <c r="L10" s="41"/>
      <c r="M10" s="42"/>
      <c r="N10" s="43"/>
      <c r="O10" s="247"/>
      <c r="P10" s="258"/>
    </row>
    <row r="11" spans="1:16" ht="15.65" customHeight="1" x14ac:dyDescent="0.3">
      <c r="A11" s="289"/>
      <c r="B11" s="241"/>
      <c r="C11" s="45" t="s">
        <v>22</v>
      </c>
      <c r="D11" s="34" t="s">
        <v>25</v>
      </c>
      <c r="E11" s="35">
        <f t="shared" si="0"/>
        <v>4</v>
      </c>
      <c r="F11" s="36">
        <v>4</v>
      </c>
      <c r="G11" s="37"/>
      <c r="H11" s="38"/>
      <c r="I11" s="39"/>
      <c r="J11" s="40"/>
      <c r="K11" s="39">
        <v>4</v>
      </c>
      <c r="L11" s="41"/>
      <c r="M11" s="42"/>
      <c r="N11" s="43"/>
      <c r="O11" s="254"/>
      <c r="P11" s="258"/>
    </row>
    <row r="12" spans="1:16" ht="15.65" customHeight="1" x14ac:dyDescent="0.3">
      <c r="A12" s="289"/>
      <c r="B12" s="240" t="s">
        <v>26</v>
      </c>
      <c r="C12" s="47" t="s">
        <v>19</v>
      </c>
      <c r="D12" s="48" t="s">
        <v>27</v>
      </c>
      <c r="E12" s="49">
        <f t="shared" si="0"/>
        <v>4</v>
      </c>
      <c r="F12" s="50">
        <v>4</v>
      </c>
      <c r="G12" s="51">
        <v>4</v>
      </c>
      <c r="H12" s="52"/>
      <c r="I12" s="53"/>
      <c r="J12" s="54"/>
      <c r="K12" s="51"/>
      <c r="L12" s="52"/>
      <c r="M12" s="55"/>
      <c r="N12" s="56"/>
      <c r="O12" s="276">
        <f>SUM(F12:F16)</f>
        <v>20</v>
      </c>
      <c r="P12" s="257">
        <v>8</v>
      </c>
    </row>
    <row r="13" spans="1:16" ht="15.65" customHeight="1" x14ac:dyDescent="0.3">
      <c r="A13" s="289"/>
      <c r="B13" s="241"/>
      <c r="C13" s="45" t="s">
        <v>19</v>
      </c>
      <c r="D13" s="34" t="s">
        <v>28</v>
      </c>
      <c r="E13" s="35">
        <f t="shared" si="0"/>
        <v>4</v>
      </c>
      <c r="F13" s="57">
        <v>4</v>
      </c>
      <c r="G13" s="58"/>
      <c r="H13" s="38">
        <v>4</v>
      </c>
      <c r="I13" s="39"/>
      <c r="J13" s="40"/>
      <c r="K13" s="58"/>
      <c r="L13" s="38"/>
      <c r="M13" s="42"/>
      <c r="N13" s="43"/>
      <c r="O13" s="243"/>
      <c r="P13" s="258"/>
    </row>
    <row r="14" spans="1:16" ht="15.65" customHeight="1" x14ac:dyDescent="0.3">
      <c r="A14" s="289"/>
      <c r="B14" s="241"/>
      <c r="C14" s="45" t="s">
        <v>22</v>
      </c>
      <c r="D14" s="34" t="s">
        <v>29</v>
      </c>
      <c r="E14" s="35">
        <f t="shared" si="0"/>
        <v>4</v>
      </c>
      <c r="F14" s="36">
        <v>4</v>
      </c>
      <c r="G14" s="58"/>
      <c r="H14" s="38"/>
      <c r="I14" s="39">
        <v>4</v>
      </c>
      <c r="J14" s="40"/>
      <c r="K14" s="58"/>
      <c r="L14" s="38"/>
      <c r="M14" s="42"/>
      <c r="N14" s="43"/>
      <c r="O14" s="243"/>
      <c r="P14" s="258"/>
    </row>
    <row r="15" spans="1:16" ht="15.65" customHeight="1" x14ac:dyDescent="0.3">
      <c r="A15" s="289"/>
      <c r="B15" s="241"/>
      <c r="C15" s="45" t="s">
        <v>22</v>
      </c>
      <c r="D15" s="34" t="s">
        <v>30</v>
      </c>
      <c r="E15" s="35">
        <f t="shared" si="0"/>
        <v>4</v>
      </c>
      <c r="F15" s="36">
        <v>4</v>
      </c>
      <c r="G15" s="58"/>
      <c r="H15" s="38"/>
      <c r="I15" s="39"/>
      <c r="J15" s="40">
        <v>4</v>
      </c>
      <c r="K15" s="58"/>
      <c r="L15" s="38"/>
      <c r="M15" s="42"/>
      <c r="N15" s="43"/>
      <c r="O15" s="243"/>
      <c r="P15" s="258"/>
    </row>
    <row r="16" spans="1:16" ht="15.65" customHeight="1" x14ac:dyDescent="0.3">
      <c r="A16" s="289"/>
      <c r="B16" s="241"/>
      <c r="C16" s="45" t="s">
        <v>22</v>
      </c>
      <c r="D16" s="34" t="s">
        <v>31</v>
      </c>
      <c r="E16" s="35">
        <f t="shared" si="0"/>
        <v>4</v>
      </c>
      <c r="F16" s="36">
        <v>4</v>
      </c>
      <c r="G16" s="58"/>
      <c r="H16" s="38"/>
      <c r="I16" s="39"/>
      <c r="J16" s="40"/>
      <c r="K16" s="39">
        <v>4</v>
      </c>
      <c r="L16" s="40"/>
      <c r="M16" s="42"/>
      <c r="N16" s="43"/>
      <c r="O16" s="243"/>
      <c r="P16" s="258"/>
    </row>
    <row r="17" spans="1:20" ht="15.65" customHeight="1" x14ac:dyDescent="0.3">
      <c r="A17" s="289"/>
      <c r="B17" s="240" t="s">
        <v>32</v>
      </c>
      <c r="C17" s="47" t="s">
        <v>19</v>
      </c>
      <c r="D17" s="48" t="s">
        <v>33</v>
      </c>
      <c r="E17" s="49">
        <f t="shared" si="0"/>
        <v>4</v>
      </c>
      <c r="F17" s="59">
        <v>4</v>
      </c>
      <c r="G17" s="60">
        <v>4</v>
      </c>
      <c r="H17" s="52"/>
      <c r="I17" s="53"/>
      <c r="J17" s="54"/>
      <c r="K17" s="53"/>
      <c r="L17" s="54"/>
      <c r="M17" s="55"/>
      <c r="N17" s="56"/>
      <c r="O17" s="242">
        <f>SUM(F17:F21)</f>
        <v>19</v>
      </c>
      <c r="P17" s="257">
        <v>8</v>
      </c>
    </row>
    <row r="18" spans="1:20" ht="15.65" customHeight="1" x14ac:dyDescent="0.3">
      <c r="A18" s="289"/>
      <c r="B18" s="241"/>
      <c r="C18" s="45" t="s">
        <v>19</v>
      </c>
      <c r="D18" s="34" t="s">
        <v>34</v>
      </c>
      <c r="E18" s="35">
        <f t="shared" si="0"/>
        <v>4</v>
      </c>
      <c r="F18" s="36">
        <v>4</v>
      </c>
      <c r="G18" s="37"/>
      <c r="H18" s="38">
        <v>4</v>
      </c>
      <c r="I18" s="39"/>
      <c r="J18" s="40"/>
      <c r="K18" s="39"/>
      <c r="L18" s="40"/>
      <c r="M18" s="42"/>
      <c r="N18" s="43"/>
      <c r="O18" s="243"/>
      <c r="P18" s="258"/>
    </row>
    <row r="19" spans="1:20" ht="15.65" customHeight="1" x14ac:dyDescent="0.3">
      <c r="A19" s="289"/>
      <c r="B19" s="241"/>
      <c r="C19" s="45" t="s">
        <v>22</v>
      </c>
      <c r="D19" s="34" t="s">
        <v>35</v>
      </c>
      <c r="E19" s="35">
        <f t="shared" si="0"/>
        <v>4</v>
      </c>
      <c r="F19" s="36">
        <v>4</v>
      </c>
      <c r="G19" s="37"/>
      <c r="H19" s="38"/>
      <c r="I19" s="39">
        <v>4</v>
      </c>
      <c r="J19" s="40"/>
      <c r="K19" s="39"/>
      <c r="L19" s="40"/>
      <c r="M19" s="42"/>
      <c r="N19" s="43"/>
      <c r="O19" s="243"/>
      <c r="P19" s="258"/>
    </row>
    <row r="20" spans="1:20" ht="15.65" customHeight="1" x14ac:dyDescent="0.3">
      <c r="A20" s="289"/>
      <c r="B20" s="241"/>
      <c r="C20" s="45" t="s">
        <v>22</v>
      </c>
      <c r="D20" s="34" t="s">
        <v>36</v>
      </c>
      <c r="E20" s="35">
        <f t="shared" si="0"/>
        <v>4</v>
      </c>
      <c r="F20" s="36">
        <v>4</v>
      </c>
      <c r="G20" s="37"/>
      <c r="H20" s="38"/>
      <c r="I20" s="39"/>
      <c r="J20" s="40">
        <v>4</v>
      </c>
      <c r="K20" s="39"/>
      <c r="L20" s="40"/>
      <c r="M20" s="42"/>
      <c r="N20" s="43"/>
      <c r="O20" s="243"/>
      <c r="P20" s="258"/>
    </row>
    <row r="21" spans="1:20" ht="15.65" customHeight="1" x14ac:dyDescent="0.3">
      <c r="A21" s="289"/>
      <c r="B21" s="241"/>
      <c r="C21" s="45" t="s">
        <v>22</v>
      </c>
      <c r="D21" s="34" t="s">
        <v>37</v>
      </c>
      <c r="E21" s="35">
        <f t="shared" si="0"/>
        <v>4</v>
      </c>
      <c r="F21" s="36">
        <v>3</v>
      </c>
      <c r="G21" s="37"/>
      <c r="H21" s="38"/>
      <c r="I21" s="39"/>
      <c r="J21" s="40"/>
      <c r="K21" s="39">
        <v>3</v>
      </c>
      <c r="L21" s="40"/>
      <c r="M21" s="42"/>
      <c r="N21" s="43"/>
      <c r="O21" s="243"/>
      <c r="P21" s="258"/>
    </row>
    <row r="22" spans="1:20" ht="15.65" customHeight="1" x14ac:dyDescent="0.3">
      <c r="A22" s="289"/>
      <c r="B22" s="240" t="s">
        <v>38</v>
      </c>
      <c r="C22" s="3" t="s">
        <v>19</v>
      </c>
      <c r="D22" s="48" t="s">
        <v>39</v>
      </c>
      <c r="E22" s="49">
        <f t="shared" si="0"/>
        <v>3</v>
      </c>
      <c r="F22" s="59">
        <v>3</v>
      </c>
      <c r="G22" s="60">
        <v>3</v>
      </c>
      <c r="H22" s="52"/>
      <c r="I22" s="53"/>
      <c r="J22" s="54"/>
      <c r="K22" s="53"/>
      <c r="L22" s="61"/>
      <c r="M22" s="55"/>
      <c r="N22" s="56"/>
      <c r="O22" s="285">
        <f>SUM(F22:F23)</f>
        <v>6</v>
      </c>
      <c r="P22" s="235">
        <v>6</v>
      </c>
    </row>
    <row r="23" spans="1:20" ht="15.65" customHeight="1" x14ac:dyDescent="0.3">
      <c r="A23" s="289"/>
      <c r="B23" s="241"/>
      <c r="C23" s="4" t="s">
        <v>19</v>
      </c>
      <c r="D23" s="62" t="s">
        <v>40</v>
      </c>
      <c r="E23" s="63">
        <f t="shared" si="0"/>
        <v>3</v>
      </c>
      <c r="F23" s="64">
        <v>3</v>
      </c>
      <c r="G23" s="65"/>
      <c r="H23" s="66">
        <v>3</v>
      </c>
      <c r="I23" s="5"/>
      <c r="J23" s="67"/>
      <c r="K23" s="5"/>
      <c r="L23" s="67"/>
      <c r="M23" s="62"/>
      <c r="N23" s="4"/>
      <c r="O23" s="286"/>
      <c r="P23" s="236"/>
    </row>
    <row r="24" spans="1:20" ht="15.65" customHeight="1" x14ac:dyDescent="0.3">
      <c r="A24" s="289"/>
      <c r="B24" s="241"/>
      <c r="C24" s="69" t="s">
        <v>19</v>
      </c>
      <c r="D24" s="70" t="s">
        <v>41</v>
      </c>
      <c r="E24" s="71">
        <f t="shared" si="0"/>
        <v>4</v>
      </c>
      <c r="F24" s="72">
        <v>4</v>
      </c>
      <c r="G24" s="73">
        <v>4</v>
      </c>
      <c r="H24" s="74"/>
      <c r="I24" s="75"/>
      <c r="J24" s="76"/>
      <c r="K24" s="75"/>
      <c r="L24" s="77"/>
      <c r="M24" s="78"/>
      <c r="N24" s="69"/>
      <c r="O24" s="242">
        <f>SUM(F24:F25)</f>
        <v>8</v>
      </c>
      <c r="P24" s="257">
        <v>8</v>
      </c>
    </row>
    <row r="25" spans="1:20" ht="15.65" customHeight="1" x14ac:dyDescent="0.3">
      <c r="A25" s="289"/>
      <c r="B25" s="241"/>
      <c r="C25" s="45" t="s">
        <v>19</v>
      </c>
      <c r="D25" s="34" t="s">
        <v>42</v>
      </c>
      <c r="E25" s="35">
        <f t="shared" si="0"/>
        <v>4</v>
      </c>
      <c r="F25" s="36">
        <v>4</v>
      </c>
      <c r="G25" s="37"/>
      <c r="H25" s="38">
        <v>4</v>
      </c>
      <c r="I25" s="39"/>
      <c r="J25" s="40"/>
      <c r="K25" s="39"/>
      <c r="L25" s="41"/>
      <c r="M25" s="42"/>
      <c r="N25" s="45"/>
      <c r="O25" s="243"/>
      <c r="P25" s="258"/>
    </row>
    <row r="26" spans="1:20" ht="15.65" customHeight="1" x14ac:dyDescent="0.3">
      <c r="A26" s="289"/>
      <c r="B26" s="240" t="s">
        <v>43</v>
      </c>
      <c r="C26" s="47" t="s">
        <v>19</v>
      </c>
      <c r="D26" s="48" t="s">
        <v>44</v>
      </c>
      <c r="E26" s="49">
        <f t="shared" si="0"/>
        <v>4</v>
      </c>
      <c r="F26" s="59">
        <v>4</v>
      </c>
      <c r="G26" s="60">
        <v>4</v>
      </c>
      <c r="H26" s="52"/>
      <c r="I26" s="53"/>
      <c r="J26" s="54"/>
      <c r="K26" s="79"/>
      <c r="L26" s="80"/>
      <c r="M26" s="55"/>
      <c r="N26" s="47"/>
      <c r="O26" s="242">
        <f>SUM(F26:F29)</f>
        <v>10</v>
      </c>
      <c r="P26" s="257">
        <v>10</v>
      </c>
    </row>
    <row r="27" spans="1:20" ht="15.65" customHeight="1" x14ac:dyDescent="0.3">
      <c r="A27" s="289"/>
      <c r="B27" s="241"/>
      <c r="C27" s="2" t="s">
        <v>19</v>
      </c>
      <c r="D27" s="34" t="s">
        <v>45</v>
      </c>
      <c r="E27" s="35">
        <f t="shared" si="0"/>
        <v>4</v>
      </c>
      <c r="F27" s="36">
        <v>4</v>
      </c>
      <c r="G27" s="37"/>
      <c r="H27" s="38">
        <v>4</v>
      </c>
      <c r="I27" s="39"/>
      <c r="J27" s="40"/>
      <c r="K27" s="81"/>
      <c r="L27" s="82"/>
      <c r="M27" s="42"/>
      <c r="N27" s="43"/>
      <c r="O27" s="243"/>
      <c r="P27" s="258"/>
    </row>
    <row r="28" spans="1:20" ht="15.65" customHeight="1" x14ac:dyDescent="0.3">
      <c r="A28" s="289"/>
      <c r="B28" s="241"/>
      <c r="C28" s="45" t="s">
        <v>19</v>
      </c>
      <c r="D28" s="34" t="s">
        <v>46</v>
      </c>
      <c r="E28" s="35">
        <f t="shared" si="0"/>
        <v>1</v>
      </c>
      <c r="F28" s="36">
        <v>1</v>
      </c>
      <c r="G28" s="37">
        <v>1</v>
      </c>
      <c r="H28" s="38"/>
      <c r="I28" s="39"/>
      <c r="J28" s="40"/>
      <c r="K28" s="81"/>
      <c r="L28" s="82"/>
      <c r="M28" s="42"/>
      <c r="N28" s="43"/>
      <c r="O28" s="243"/>
      <c r="P28" s="258"/>
    </row>
    <row r="29" spans="1:20" ht="15.65" customHeight="1" x14ac:dyDescent="0.3">
      <c r="A29" s="289"/>
      <c r="B29" s="241"/>
      <c r="C29" s="45" t="s">
        <v>19</v>
      </c>
      <c r="D29" s="34" t="s">
        <v>47</v>
      </c>
      <c r="E29" s="35">
        <f t="shared" si="0"/>
        <v>1</v>
      </c>
      <c r="F29" s="36">
        <v>1</v>
      </c>
      <c r="G29" s="37"/>
      <c r="H29" s="38">
        <v>1</v>
      </c>
      <c r="I29" s="39"/>
      <c r="J29" s="40"/>
      <c r="K29" s="81"/>
      <c r="L29" s="82"/>
      <c r="M29" s="42"/>
      <c r="N29" s="43"/>
      <c r="O29" s="243"/>
      <c r="P29" s="258"/>
    </row>
    <row r="30" spans="1:20" ht="15.65" customHeight="1" x14ac:dyDescent="0.3">
      <c r="A30" s="289"/>
      <c r="B30" s="240" t="s">
        <v>48</v>
      </c>
      <c r="C30" s="47" t="s">
        <v>22</v>
      </c>
      <c r="D30" s="48" t="s">
        <v>49</v>
      </c>
      <c r="E30" s="49">
        <f t="shared" si="0"/>
        <v>3</v>
      </c>
      <c r="F30" s="50">
        <v>2</v>
      </c>
      <c r="G30" s="51">
        <v>2</v>
      </c>
      <c r="H30" s="52"/>
      <c r="I30" s="53"/>
      <c r="J30" s="54"/>
      <c r="K30" s="53"/>
      <c r="L30" s="61"/>
      <c r="M30" s="55"/>
      <c r="N30" s="47"/>
      <c r="O30" s="242">
        <f>SUM(F30:F35)</f>
        <v>10</v>
      </c>
      <c r="P30" s="257">
        <v>10</v>
      </c>
      <c r="R30" s="83"/>
      <c r="S30" s="83"/>
      <c r="T30" s="83"/>
    </row>
    <row r="31" spans="1:20" ht="15.65" customHeight="1" x14ac:dyDescent="0.3">
      <c r="A31" s="289"/>
      <c r="B31" s="241"/>
      <c r="C31" s="45" t="s">
        <v>22</v>
      </c>
      <c r="D31" s="34" t="s">
        <v>50</v>
      </c>
      <c r="E31" s="35">
        <f t="shared" si="0"/>
        <v>3</v>
      </c>
      <c r="F31" s="36">
        <v>2</v>
      </c>
      <c r="G31" s="58"/>
      <c r="H31" s="38">
        <v>2</v>
      </c>
      <c r="I31" s="39"/>
      <c r="J31" s="40"/>
      <c r="K31" s="39"/>
      <c r="L31" s="41"/>
      <c r="M31" s="42"/>
      <c r="N31" s="43"/>
      <c r="O31" s="243"/>
      <c r="P31" s="258"/>
      <c r="R31" s="83"/>
      <c r="S31" s="83"/>
      <c r="T31" s="83"/>
    </row>
    <row r="32" spans="1:20" ht="15.65" customHeight="1" x14ac:dyDescent="0.3">
      <c r="A32" s="289"/>
      <c r="B32" s="241"/>
      <c r="C32" s="45" t="s">
        <v>51</v>
      </c>
      <c r="D32" s="34" t="s">
        <v>52</v>
      </c>
      <c r="E32" s="35">
        <f t="shared" si="0"/>
        <v>3</v>
      </c>
      <c r="F32" s="36">
        <v>2</v>
      </c>
      <c r="G32" s="58"/>
      <c r="H32" s="38"/>
      <c r="I32" s="39">
        <v>2</v>
      </c>
      <c r="J32" s="40"/>
      <c r="K32" s="39"/>
      <c r="L32" s="41"/>
      <c r="M32" s="42"/>
      <c r="N32" s="43"/>
      <c r="O32" s="243"/>
      <c r="P32" s="258"/>
      <c r="R32" s="83"/>
      <c r="S32" s="83"/>
      <c r="T32" s="83"/>
    </row>
    <row r="33" spans="1:20" ht="15.65" customHeight="1" x14ac:dyDescent="0.3">
      <c r="A33" s="289"/>
      <c r="B33" s="241"/>
      <c r="C33" s="45" t="s">
        <v>51</v>
      </c>
      <c r="D33" s="34" t="s">
        <v>53</v>
      </c>
      <c r="E33" s="35">
        <f t="shared" si="0"/>
        <v>3</v>
      </c>
      <c r="F33" s="36">
        <v>2</v>
      </c>
      <c r="G33" s="58"/>
      <c r="H33" s="38"/>
      <c r="I33" s="39"/>
      <c r="J33" s="40">
        <v>2</v>
      </c>
      <c r="K33" s="39"/>
      <c r="L33" s="41"/>
      <c r="M33" s="42"/>
      <c r="N33" s="43"/>
      <c r="O33" s="243"/>
      <c r="P33" s="258"/>
      <c r="R33" s="83"/>
      <c r="S33" s="83"/>
      <c r="T33" s="83"/>
    </row>
    <row r="34" spans="1:20" ht="15.65" customHeight="1" x14ac:dyDescent="0.3">
      <c r="A34" s="289"/>
      <c r="B34" s="241"/>
      <c r="C34" s="45" t="s">
        <v>54</v>
      </c>
      <c r="D34" s="34" t="s">
        <v>55</v>
      </c>
      <c r="E34" s="35">
        <f t="shared" si="0"/>
        <v>2</v>
      </c>
      <c r="F34" s="36">
        <v>1</v>
      </c>
      <c r="G34" s="58"/>
      <c r="H34" s="38"/>
      <c r="I34" s="39"/>
      <c r="J34" s="40"/>
      <c r="K34" s="39">
        <v>1</v>
      </c>
      <c r="L34" s="41"/>
      <c r="M34" s="42"/>
      <c r="N34" s="43"/>
      <c r="O34" s="243"/>
      <c r="P34" s="258"/>
      <c r="R34" s="83"/>
      <c r="S34" s="83"/>
      <c r="T34" s="83"/>
    </row>
    <row r="35" spans="1:20" ht="15.65" customHeight="1" x14ac:dyDescent="0.3">
      <c r="A35" s="289"/>
      <c r="B35" s="241"/>
      <c r="C35" s="45" t="s">
        <v>54</v>
      </c>
      <c r="D35" s="34" t="s">
        <v>56</v>
      </c>
      <c r="E35" s="35">
        <f t="shared" si="0"/>
        <v>2</v>
      </c>
      <c r="F35" s="36">
        <v>1</v>
      </c>
      <c r="G35" s="37"/>
      <c r="H35" s="38"/>
      <c r="I35" s="39"/>
      <c r="J35" s="40"/>
      <c r="K35" s="39"/>
      <c r="L35" s="41">
        <v>1</v>
      </c>
      <c r="M35" s="42"/>
      <c r="N35" s="43"/>
      <c r="O35" s="243"/>
      <c r="P35" s="258"/>
      <c r="R35" s="83"/>
      <c r="S35" s="83"/>
      <c r="T35" s="83"/>
    </row>
    <row r="36" spans="1:20" ht="15.65" customHeight="1" x14ac:dyDescent="0.3">
      <c r="A36" s="289"/>
      <c r="B36" s="240" t="s">
        <v>57</v>
      </c>
      <c r="C36" s="47" t="s">
        <v>22</v>
      </c>
      <c r="D36" s="48" t="s">
        <v>58</v>
      </c>
      <c r="E36" s="49">
        <f t="shared" si="0"/>
        <v>3</v>
      </c>
      <c r="F36" s="59">
        <v>3</v>
      </c>
      <c r="G36" s="51">
        <v>3</v>
      </c>
      <c r="H36" s="52"/>
      <c r="I36" s="53"/>
      <c r="J36" s="54"/>
      <c r="K36" s="53"/>
      <c r="L36" s="61"/>
      <c r="M36" s="55"/>
      <c r="N36" s="47"/>
      <c r="O36" s="299">
        <f>SUM(F36:F39)</f>
        <v>10</v>
      </c>
      <c r="P36" s="257">
        <v>10</v>
      </c>
      <c r="R36" s="83"/>
      <c r="S36" s="83"/>
      <c r="T36" s="83"/>
    </row>
    <row r="37" spans="1:20" ht="15.65" customHeight="1" x14ac:dyDescent="0.3">
      <c r="A37" s="289"/>
      <c r="B37" s="241"/>
      <c r="C37" s="45" t="s">
        <v>54</v>
      </c>
      <c r="D37" s="34" t="s">
        <v>59</v>
      </c>
      <c r="E37" s="35">
        <f t="shared" si="0"/>
        <v>3</v>
      </c>
      <c r="F37" s="36">
        <v>3</v>
      </c>
      <c r="G37" s="58"/>
      <c r="H37" s="38">
        <v>3</v>
      </c>
      <c r="I37" s="39"/>
      <c r="J37" s="40"/>
      <c r="K37" s="39"/>
      <c r="L37" s="41"/>
      <c r="M37" s="42"/>
      <c r="N37" s="43"/>
      <c r="O37" s="247"/>
      <c r="P37" s="258"/>
      <c r="R37" s="83"/>
      <c r="S37" s="83"/>
      <c r="T37" s="83"/>
    </row>
    <row r="38" spans="1:20" ht="15.65" customHeight="1" x14ac:dyDescent="0.3">
      <c r="A38" s="289"/>
      <c r="B38" s="241"/>
      <c r="C38" s="45" t="s">
        <v>22</v>
      </c>
      <c r="D38" s="34" t="s">
        <v>60</v>
      </c>
      <c r="E38" s="35">
        <f t="shared" si="0"/>
        <v>3</v>
      </c>
      <c r="F38" s="36">
        <v>2</v>
      </c>
      <c r="G38" s="58"/>
      <c r="H38" s="38"/>
      <c r="I38" s="39">
        <v>2</v>
      </c>
      <c r="J38" s="40"/>
      <c r="K38" s="39"/>
      <c r="L38" s="41"/>
      <c r="M38" s="42"/>
      <c r="N38" s="43"/>
      <c r="O38" s="247"/>
      <c r="P38" s="258"/>
      <c r="R38" s="83"/>
      <c r="S38" s="83"/>
      <c r="T38" s="83"/>
    </row>
    <row r="39" spans="1:20" ht="15.65" customHeight="1" x14ac:dyDescent="0.3">
      <c r="A39" s="289"/>
      <c r="B39" s="241"/>
      <c r="C39" s="45" t="s">
        <v>54</v>
      </c>
      <c r="D39" s="34" t="s">
        <v>61</v>
      </c>
      <c r="E39" s="35">
        <f t="shared" ref="E39:E70" si="1">IFERROR(VLOOKUP(D39, 기본학점, 2, FALSE), "")</f>
        <v>3</v>
      </c>
      <c r="F39" s="36">
        <v>2</v>
      </c>
      <c r="G39" s="58"/>
      <c r="H39" s="38"/>
      <c r="I39" s="39"/>
      <c r="J39" s="40">
        <v>2</v>
      </c>
      <c r="K39" s="39"/>
      <c r="L39" s="41"/>
      <c r="M39" s="42"/>
      <c r="N39" s="43"/>
      <c r="O39" s="254"/>
      <c r="P39" s="258"/>
      <c r="R39" s="83"/>
      <c r="S39" s="83"/>
      <c r="T39" s="83"/>
    </row>
    <row r="40" spans="1:20" ht="15.65" customHeight="1" thickBot="1" x14ac:dyDescent="0.35">
      <c r="A40" s="290"/>
      <c r="B40" s="84" t="s">
        <v>62</v>
      </c>
      <c r="C40" s="85" t="s">
        <v>51</v>
      </c>
      <c r="D40" s="86" t="s">
        <v>63</v>
      </c>
      <c r="E40" s="87">
        <f t="shared" si="1"/>
        <v>2</v>
      </c>
      <c r="F40" s="88">
        <v>1</v>
      </c>
      <c r="G40" s="89"/>
      <c r="H40" s="90"/>
      <c r="I40" s="91"/>
      <c r="J40" s="92"/>
      <c r="K40" s="91"/>
      <c r="L40" s="93">
        <v>1</v>
      </c>
      <c r="M40" s="94"/>
      <c r="N40" s="85"/>
      <c r="O40" s="95">
        <f>SUM(F40:F40)</f>
        <v>1</v>
      </c>
      <c r="P40" s="96">
        <v>16</v>
      </c>
      <c r="R40" s="83"/>
      <c r="S40" s="83"/>
      <c r="T40" s="83"/>
    </row>
    <row r="41" spans="1:20" ht="15.65" customHeight="1" x14ac:dyDescent="0.3">
      <c r="A41" s="296" t="s">
        <v>64</v>
      </c>
      <c r="B41" s="21" t="s">
        <v>32</v>
      </c>
      <c r="C41" s="97" t="s">
        <v>54</v>
      </c>
      <c r="D41" s="23" t="s">
        <v>65</v>
      </c>
      <c r="E41" s="24">
        <f t="shared" si="1"/>
        <v>4</v>
      </c>
      <c r="F41" s="98">
        <v>3</v>
      </c>
      <c r="G41" s="99"/>
      <c r="H41" s="100"/>
      <c r="I41" s="280" t="s">
        <v>66</v>
      </c>
      <c r="J41" s="101"/>
      <c r="K41" s="102"/>
      <c r="L41" s="103"/>
      <c r="M41" s="104"/>
      <c r="N41" s="105"/>
      <c r="O41" s="255">
        <v>24</v>
      </c>
      <c r="P41" s="295"/>
    </row>
    <row r="42" spans="1:20" ht="15.65" customHeight="1" x14ac:dyDescent="0.3">
      <c r="A42" s="289"/>
      <c r="B42" s="240" t="s">
        <v>38</v>
      </c>
      <c r="C42" s="106" t="s">
        <v>22</v>
      </c>
      <c r="D42" s="48" t="s">
        <v>67</v>
      </c>
      <c r="E42" s="49">
        <f t="shared" si="1"/>
        <v>4</v>
      </c>
      <c r="F42" s="51">
        <v>3</v>
      </c>
      <c r="G42" s="107"/>
      <c r="H42" s="108"/>
      <c r="I42" s="262"/>
      <c r="J42" s="109"/>
      <c r="K42" s="110"/>
      <c r="L42" s="111"/>
      <c r="M42" s="112"/>
      <c r="N42" s="56"/>
      <c r="O42" s="247"/>
      <c r="P42" s="272"/>
    </row>
    <row r="43" spans="1:20" ht="15.65" customHeight="1" x14ac:dyDescent="0.3">
      <c r="A43" s="289"/>
      <c r="B43" s="241"/>
      <c r="C43" s="113" t="s">
        <v>22</v>
      </c>
      <c r="D43" s="34" t="s">
        <v>68</v>
      </c>
      <c r="E43" s="35">
        <f t="shared" si="1"/>
        <v>4</v>
      </c>
      <c r="F43" s="58">
        <v>3</v>
      </c>
      <c r="G43" s="114"/>
      <c r="H43" s="115"/>
      <c r="I43" s="262"/>
      <c r="J43" s="116"/>
      <c r="K43" s="117"/>
      <c r="L43" s="118"/>
      <c r="M43" s="119"/>
      <c r="N43" s="43"/>
      <c r="O43" s="247"/>
      <c r="P43" s="272"/>
    </row>
    <row r="44" spans="1:20" ht="15.65" customHeight="1" x14ac:dyDescent="0.3">
      <c r="A44" s="289"/>
      <c r="B44" s="241"/>
      <c r="C44" s="113" t="s">
        <v>22</v>
      </c>
      <c r="D44" s="34" t="s">
        <v>69</v>
      </c>
      <c r="E44" s="35">
        <f t="shared" si="1"/>
        <v>4</v>
      </c>
      <c r="F44" s="58">
        <v>3</v>
      </c>
      <c r="G44" s="114"/>
      <c r="H44" s="115"/>
      <c r="I44" s="262"/>
      <c r="J44" s="116"/>
      <c r="K44" s="117"/>
      <c r="L44" s="118"/>
      <c r="M44" s="119"/>
      <c r="N44" s="43"/>
      <c r="O44" s="247"/>
      <c r="P44" s="272"/>
    </row>
    <row r="45" spans="1:20" ht="15.65" customHeight="1" x14ac:dyDescent="0.3">
      <c r="A45" s="289"/>
      <c r="B45" s="241"/>
      <c r="C45" s="113" t="s">
        <v>54</v>
      </c>
      <c r="D45" s="34" t="s">
        <v>70</v>
      </c>
      <c r="E45" s="35">
        <f t="shared" si="1"/>
        <v>4</v>
      </c>
      <c r="F45" s="58">
        <v>3</v>
      </c>
      <c r="G45" s="114"/>
      <c r="H45" s="115"/>
      <c r="I45" s="262"/>
      <c r="J45" s="116"/>
      <c r="K45" s="117"/>
      <c r="L45" s="118"/>
      <c r="M45" s="119"/>
      <c r="N45" s="43"/>
      <c r="O45" s="247"/>
      <c r="P45" s="272"/>
    </row>
    <row r="46" spans="1:20" ht="15.65" customHeight="1" x14ac:dyDescent="0.3">
      <c r="A46" s="289"/>
      <c r="B46" s="240" t="s">
        <v>43</v>
      </c>
      <c r="C46" s="106" t="s">
        <v>22</v>
      </c>
      <c r="D46" s="48" t="s">
        <v>71</v>
      </c>
      <c r="E46" s="49">
        <f t="shared" si="1"/>
        <v>4</v>
      </c>
      <c r="F46" s="51">
        <v>3</v>
      </c>
      <c r="G46" s="107"/>
      <c r="H46" s="108"/>
      <c r="I46" s="262"/>
      <c r="J46" s="120"/>
      <c r="K46" s="121"/>
      <c r="L46" s="122"/>
      <c r="M46" s="112"/>
      <c r="N46" s="56"/>
      <c r="O46" s="247"/>
      <c r="P46" s="272"/>
    </row>
    <row r="47" spans="1:20" ht="15.65" customHeight="1" x14ac:dyDescent="0.3">
      <c r="A47" s="289"/>
      <c r="B47" s="241"/>
      <c r="C47" s="113" t="s">
        <v>22</v>
      </c>
      <c r="D47" s="34" t="s">
        <v>72</v>
      </c>
      <c r="E47" s="35">
        <f t="shared" si="1"/>
        <v>4</v>
      </c>
      <c r="F47" s="58">
        <v>3</v>
      </c>
      <c r="G47" s="114"/>
      <c r="H47" s="115"/>
      <c r="I47" s="262"/>
      <c r="J47" s="123"/>
      <c r="K47" s="124"/>
      <c r="L47" s="125"/>
      <c r="M47" s="119"/>
      <c r="N47" s="43"/>
      <c r="O47" s="247"/>
      <c r="P47" s="272"/>
    </row>
    <row r="48" spans="1:20" ht="15.65" customHeight="1" x14ac:dyDescent="0.3">
      <c r="A48" s="289"/>
      <c r="B48" s="241"/>
      <c r="C48" s="113" t="s">
        <v>22</v>
      </c>
      <c r="D48" s="34" t="s">
        <v>73</v>
      </c>
      <c r="E48" s="35">
        <f t="shared" si="1"/>
        <v>4</v>
      </c>
      <c r="F48" s="58">
        <v>3</v>
      </c>
      <c r="G48" s="114"/>
      <c r="H48" s="115"/>
      <c r="I48" s="262"/>
      <c r="J48" s="123"/>
      <c r="K48" s="124"/>
      <c r="L48" s="125"/>
      <c r="M48" s="119"/>
      <c r="N48" s="43"/>
      <c r="O48" s="247"/>
      <c r="P48" s="272"/>
    </row>
    <row r="49" spans="1:16" ht="15.65" customHeight="1" x14ac:dyDescent="0.3">
      <c r="A49" s="289"/>
      <c r="B49" s="241"/>
      <c r="C49" s="113" t="s">
        <v>22</v>
      </c>
      <c r="D49" s="34" t="s">
        <v>74</v>
      </c>
      <c r="E49" s="35">
        <f t="shared" si="1"/>
        <v>4</v>
      </c>
      <c r="F49" s="58">
        <v>3</v>
      </c>
      <c r="G49" s="114"/>
      <c r="H49" s="115"/>
      <c r="I49" s="262"/>
      <c r="J49" s="123"/>
      <c r="K49" s="124"/>
      <c r="L49" s="125"/>
      <c r="M49" s="119"/>
      <c r="N49" s="43"/>
      <c r="O49" s="247"/>
      <c r="P49" s="272"/>
    </row>
    <row r="50" spans="1:16" ht="15.65" customHeight="1" x14ac:dyDescent="0.3">
      <c r="A50" s="289"/>
      <c r="B50" s="46" t="s">
        <v>62</v>
      </c>
      <c r="C50" s="106" t="s">
        <v>22</v>
      </c>
      <c r="D50" s="48" t="s">
        <v>75</v>
      </c>
      <c r="E50" s="49">
        <f t="shared" si="1"/>
        <v>4</v>
      </c>
      <c r="F50" s="50">
        <v>3</v>
      </c>
      <c r="G50" s="107"/>
      <c r="H50" s="126"/>
      <c r="I50" s="262"/>
      <c r="J50" s="127"/>
      <c r="K50" s="128"/>
      <c r="L50" s="129"/>
      <c r="M50" s="112"/>
      <c r="N50" s="56"/>
      <c r="O50" s="247"/>
      <c r="P50" s="272"/>
    </row>
    <row r="51" spans="1:16" ht="15.65" customHeight="1" x14ac:dyDescent="0.3">
      <c r="A51" s="289"/>
      <c r="B51" s="240" t="s">
        <v>76</v>
      </c>
      <c r="C51" s="106" t="s">
        <v>22</v>
      </c>
      <c r="D51" s="48" t="s">
        <v>77</v>
      </c>
      <c r="E51" s="49">
        <f t="shared" si="1"/>
        <v>4</v>
      </c>
      <c r="F51" s="50">
        <v>3</v>
      </c>
      <c r="G51" s="107"/>
      <c r="H51" s="126"/>
      <c r="I51" s="262"/>
      <c r="J51" s="127"/>
      <c r="K51" s="128"/>
      <c r="L51" s="129"/>
      <c r="M51" s="112"/>
      <c r="N51" s="47"/>
      <c r="O51" s="247"/>
      <c r="P51" s="272"/>
    </row>
    <row r="52" spans="1:16" ht="15.65" customHeight="1" x14ac:dyDescent="0.3">
      <c r="A52" s="289"/>
      <c r="B52" s="241"/>
      <c r="C52" s="113" t="s">
        <v>22</v>
      </c>
      <c r="D52" s="34" t="s">
        <v>78</v>
      </c>
      <c r="E52" s="35">
        <f t="shared" si="1"/>
        <v>4</v>
      </c>
      <c r="F52" s="58">
        <v>3</v>
      </c>
      <c r="G52" s="114"/>
      <c r="H52" s="130"/>
      <c r="I52" s="262"/>
      <c r="J52" s="131"/>
      <c r="K52" s="132"/>
      <c r="L52" s="133"/>
      <c r="M52" s="119"/>
      <c r="N52" s="45"/>
      <c r="O52" s="247"/>
      <c r="P52" s="272"/>
    </row>
    <row r="53" spans="1:16" ht="15.65" customHeight="1" x14ac:dyDescent="0.3">
      <c r="A53" s="289"/>
      <c r="B53" s="241"/>
      <c r="C53" s="113" t="s">
        <v>22</v>
      </c>
      <c r="D53" s="34" t="s">
        <v>79</v>
      </c>
      <c r="E53" s="35">
        <f t="shared" si="1"/>
        <v>4</v>
      </c>
      <c r="F53" s="57">
        <v>3</v>
      </c>
      <c r="G53" s="114"/>
      <c r="H53" s="130"/>
      <c r="I53" s="262"/>
      <c r="J53" s="134"/>
      <c r="K53" s="132"/>
      <c r="L53" s="133"/>
      <c r="M53" s="119"/>
      <c r="N53" s="43"/>
      <c r="O53" s="247"/>
      <c r="P53" s="272"/>
    </row>
    <row r="54" spans="1:16" ht="15.65" customHeight="1" x14ac:dyDescent="0.3">
      <c r="A54" s="289"/>
      <c r="B54" s="46" t="s">
        <v>26</v>
      </c>
      <c r="C54" s="106" t="s">
        <v>54</v>
      </c>
      <c r="D54" s="48" t="s">
        <v>80</v>
      </c>
      <c r="E54" s="49">
        <f t="shared" si="1"/>
        <v>4</v>
      </c>
      <c r="F54" s="59">
        <v>3</v>
      </c>
      <c r="G54" s="107"/>
      <c r="H54" s="126"/>
      <c r="I54" s="128"/>
      <c r="J54" s="256" t="s">
        <v>66</v>
      </c>
      <c r="K54" s="128"/>
      <c r="L54" s="136"/>
      <c r="M54" s="112"/>
      <c r="N54" s="47"/>
      <c r="O54" s="247"/>
      <c r="P54" s="272"/>
    </row>
    <row r="55" spans="1:16" ht="15.65" customHeight="1" x14ac:dyDescent="0.3">
      <c r="A55" s="289"/>
      <c r="B55" s="46" t="s">
        <v>32</v>
      </c>
      <c r="C55" s="106" t="s">
        <v>51</v>
      </c>
      <c r="D55" s="48" t="s">
        <v>81</v>
      </c>
      <c r="E55" s="49">
        <f t="shared" si="1"/>
        <v>4</v>
      </c>
      <c r="F55" s="59">
        <v>3</v>
      </c>
      <c r="G55" s="107"/>
      <c r="H55" s="126"/>
      <c r="I55" s="128"/>
      <c r="J55" s="250"/>
      <c r="K55" s="128"/>
      <c r="L55" s="136"/>
      <c r="M55" s="112"/>
      <c r="N55" s="56"/>
      <c r="O55" s="247"/>
      <c r="P55" s="272"/>
    </row>
    <row r="56" spans="1:16" ht="15.65" customHeight="1" x14ac:dyDescent="0.3">
      <c r="A56" s="289"/>
      <c r="B56" s="251" t="s">
        <v>38</v>
      </c>
      <c r="C56" s="106" t="s">
        <v>22</v>
      </c>
      <c r="D56" s="48" t="s">
        <v>82</v>
      </c>
      <c r="E56" s="49">
        <f t="shared" si="1"/>
        <v>4</v>
      </c>
      <c r="F56" s="59">
        <v>3</v>
      </c>
      <c r="G56" s="107"/>
      <c r="H56" s="108"/>
      <c r="I56" s="110"/>
      <c r="J56" s="250"/>
      <c r="K56" s="110"/>
      <c r="L56" s="111"/>
      <c r="M56" s="112"/>
      <c r="N56" s="47"/>
      <c r="O56" s="247"/>
      <c r="P56" s="272"/>
    </row>
    <row r="57" spans="1:16" ht="15.65" customHeight="1" x14ac:dyDescent="0.3">
      <c r="A57" s="289"/>
      <c r="B57" s="241"/>
      <c r="C57" s="113" t="s">
        <v>54</v>
      </c>
      <c r="D57" s="34" t="s">
        <v>83</v>
      </c>
      <c r="E57" s="35">
        <f t="shared" si="1"/>
        <v>4</v>
      </c>
      <c r="F57" s="36">
        <v>3</v>
      </c>
      <c r="G57" s="114"/>
      <c r="H57" s="115"/>
      <c r="I57" s="117"/>
      <c r="J57" s="250"/>
      <c r="K57" s="117"/>
      <c r="L57" s="118"/>
      <c r="M57" s="119"/>
      <c r="N57" s="43"/>
      <c r="O57" s="247"/>
      <c r="P57" s="272"/>
    </row>
    <row r="58" spans="1:16" ht="15.65" customHeight="1" x14ac:dyDescent="0.3">
      <c r="A58" s="289"/>
      <c r="B58" s="241"/>
      <c r="C58" s="113" t="s">
        <v>54</v>
      </c>
      <c r="D58" s="34" t="s">
        <v>84</v>
      </c>
      <c r="E58" s="35">
        <f t="shared" si="1"/>
        <v>4</v>
      </c>
      <c r="F58" s="36">
        <v>3</v>
      </c>
      <c r="G58" s="114"/>
      <c r="H58" s="115"/>
      <c r="I58" s="117"/>
      <c r="J58" s="250"/>
      <c r="K58" s="117"/>
      <c r="L58" s="118"/>
      <c r="M58" s="119"/>
      <c r="N58" s="43"/>
      <c r="O58" s="247"/>
      <c r="P58" s="272"/>
    </row>
    <row r="59" spans="1:16" ht="15.65" customHeight="1" x14ac:dyDescent="0.3">
      <c r="A59" s="289"/>
      <c r="B59" s="241"/>
      <c r="C59" s="113" t="s">
        <v>54</v>
      </c>
      <c r="D59" s="34" t="s">
        <v>85</v>
      </c>
      <c r="E59" s="35">
        <f t="shared" si="1"/>
        <v>4</v>
      </c>
      <c r="F59" s="36">
        <v>3</v>
      </c>
      <c r="G59" s="114"/>
      <c r="H59" s="115"/>
      <c r="I59" s="117"/>
      <c r="J59" s="250"/>
      <c r="K59" s="117"/>
      <c r="L59" s="118"/>
      <c r="M59" s="119"/>
      <c r="N59" s="43"/>
      <c r="O59" s="247"/>
      <c r="P59" s="272"/>
    </row>
    <row r="60" spans="1:16" ht="15.65" customHeight="1" x14ac:dyDescent="0.3">
      <c r="A60" s="289"/>
      <c r="B60" s="252"/>
      <c r="C60" s="137" t="s">
        <v>54</v>
      </c>
      <c r="D60" s="62" t="s">
        <v>86</v>
      </c>
      <c r="E60" s="138">
        <f t="shared" si="1"/>
        <v>4</v>
      </c>
      <c r="F60" s="138">
        <v>3</v>
      </c>
      <c r="G60" s="139"/>
      <c r="H60" s="140"/>
      <c r="I60" s="141"/>
      <c r="J60" s="250"/>
      <c r="K60" s="142"/>
      <c r="L60" s="143"/>
      <c r="M60" s="144"/>
      <c r="N60" s="145"/>
      <c r="O60" s="247"/>
      <c r="P60" s="272"/>
    </row>
    <row r="61" spans="1:16" ht="15.65" customHeight="1" x14ac:dyDescent="0.3">
      <c r="A61" s="289"/>
      <c r="B61" s="240" t="s">
        <v>43</v>
      </c>
      <c r="C61" s="106" t="s">
        <v>54</v>
      </c>
      <c r="D61" s="48" t="s">
        <v>87</v>
      </c>
      <c r="E61" s="49">
        <f t="shared" si="1"/>
        <v>4</v>
      </c>
      <c r="F61" s="59">
        <v>3</v>
      </c>
      <c r="G61" s="107"/>
      <c r="H61" s="108"/>
      <c r="I61" s="128"/>
      <c r="J61" s="250"/>
      <c r="K61" s="121"/>
      <c r="L61" s="122"/>
      <c r="M61" s="112"/>
      <c r="N61" s="56"/>
      <c r="O61" s="247"/>
      <c r="P61" s="272"/>
    </row>
    <row r="62" spans="1:16" ht="15.65" customHeight="1" x14ac:dyDescent="0.3">
      <c r="A62" s="289"/>
      <c r="B62" s="241"/>
      <c r="C62" s="113" t="s">
        <v>54</v>
      </c>
      <c r="D62" s="34" t="s">
        <v>88</v>
      </c>
      <c r="E62" s="35">
        <f t="shared" si="1"/>
        <v>4</v>
      </c>
      <c r="F62" s="36">
        <v>3</v>
      </c>
      <c r="G62" s="114"/>
      <c r="H62" s="115"/>
      <c r="I62" s="132"/>
      <c r="J62" s="250"/>
      <c r="K62" s="124"/>
      <c r="L62" s="125"/>
      <c r="M62" s="119"/>
      <c r="N62" s="43"/>
      <c r="O62" s="247"/>
      <c r="P62" s="272"/>
    </row>
    <row r="63" spans="1:16" ht="15.65" customHeight="1" x14ac:dyDescent="0.3">
      <c r="A63" s="289"/>
      <c r="B63" s="241"/>
      <c r="C63" s="113" t="s">
        <v>54</v>
      </c>
      <c r="D63" s="34" t="s">
        <v>89</v>
      </c>
      <c r="E63" s="35">
        <f t="shared" si="1"/>
        <v>4</v>
      </c>
      <c r="F63" s="36">
        <v>3</v>
      </c>
      <c r="G63" s="114"/>
      <c r="H63" s="115"/>
      <c r="I63" s="132"/>
      <c r="J63" s="250"/>
      <c r="K63" s="124"/>
      <c r="L63" s="125"/>
      <c r="M63" s="119"/>
      <c r="N63" s="43"/>
      <c r="O63" s="247"/>
      <c r="P63" s="272"/>
    </row>
    <row r="64" spans="1:16" ht="15.65" customHeight="1" x14ac:dyDescent="0.3">
      <c r="A64" s="289"/>
      <c r="B64" s="241"/>
      <c r="C64" s="113" t="s">
        <v>54</v>
      </c>
      <c r="D64" s="34" t="s">
        <v>90</v>
      </c>
      <c r="E64" s="35">
        <f t="shared" si="1"/>
        <v>4</v>
      </c>
      <c r="F64" s="36">
        <v>3</v>
      </c>
      <c r="G64" s="114"/>
      <c r="H64" s="115"/>
      <c r="I64" s="132"/>
      <c r="J64" s="250"/>
      <c r="K64" s="124"/>
      <c r="L64" s="125"/>
      <c r="M64" s="119"/>
      <c r="N64" s="43"/>
      <c r="O64" s="247"/>
      <c r="P64" s="272"/>
    </row>
    <row r="65" spans="1:16" ht="15.65" customHeight="1" x14ac:dyDescent="0.3">
      <c r="A65" s="289"/>
      <c r="B65" s="46" t="s">
        <v>62</v>
      </c>
      <c r="C65" s="106" t="s">
        <v>54</v>
      </c>
      <c r="D65" s="48" t="s">
        <v>91</v>
      </c>
      <c r="E65" s="49">
        <f t="shared" si="1"/>
        <v>4</v>
      </c>
      <c r="F65" s="59">
        <v>3</v>
      </c>
      <c r="G65" s="107"/>
      <c r="H65" s="126"/>
      <c r="I65" s="128"/>
      <c r="J65" s="250"/>
      <c r="K65" s="128"/>
      <c r="L65" s="129"/>
      <c r="M65" s="112"/>
      <c r="N65" s="47"/>
      <c r="O65" s="247"/>
      <c r="P65" s="272"/>
    </row>
    <row r="66" spans="1:16" ht="15.65" customHeight="1" x14ac:dyDescent="0.3">
      <c r="A66" s="289"/>
      <c r="B66" s="237" t="s">
        <v>76</v>
      </c>
      <c r="C66" s="106" t="s">
        <v>54</v>
      </c>
      <c r="D66" s="48" t="s">
        <v>92</v>
      </c>
      <c r="E66" s="49">
        <f t="shared" si="1"/>
        <v>4</v>
      </c>
      <c r="F66" s="50">
        <v>3</v>
      </c>
      <c r="G66" s="107"/>
      <c r="H66" s="126"/>
      <c r="I66" s="128"/>
      <c r="J66" s="250"/>
      <c r="K66" s="128"/>
      <c r="L66" s="129"/>
      <c r="M66" s="112"/>
      <c r="N66" s="47"/>
      <c r="O66" s="247"/>
      <c r="P66" s="272"/>
    </row>
    <row r="67" spans="1:16" ht="15.65" customHeight="1" x14ac:dyDescent="0.3">
      <c r="A67" s="289"/>
      <c r="B67" s="241"/>
      <c r="C67" s="113" t="s">
        <v>54</v>
      </c>
      <c r="D67" s="34" t="s">
        <v>93</v>
      </c>
      <c r="E67" s="35">
        <f t="shared" si="1"/>
        <v>4</v>
      </c>
      <c r="F67" s="35">
        <v>3</v>
      </c>
      <c r="G67" s="114"/>
      <c r="H67" s="130"/>
      <c r="I67" s="132"/>
      <c r="J67" s="250"/>
      <c r="K67" s="132"/>
      <c r="L67" s="133"/>
      <c r="M67" s="119"/>
      <c r="N67" s="43"/>
      <c r="O67" s="247"/>
      <c r="P67" s="272"/>
    </row>
    <row r="68" spans="1:16" ht="15.65" customHeight="1" thickBot="1" x14ac:dyDescent="0.35">
      <c r="A68" s="290"/>
      <c r="B68" s="284"/>
      <c r="C68" s="146" t="s">
        <v>51</v>
      </c>
      <c r="D68" s="147" t="s">
        <v>94</v>
      </c>
      <c r="E68" s="148">
        <f t="shared" si="1"/>
        <v>4</v>
      </c>
      <c r="F68" s="149">
        <v>3</v>
      </c>
      <c r="G68" s="150"/>
      <c r="H68" s="151"/>
      <c r="I68" s="152"/>
      <c r="J68" s="245"/>
      <c r="K68" s="152"/>
      <c r="L68" s="153"/>
      <c r="M68" s="154"/>
      <c r="N68" s="155"/>
      <c r="O68" s="248"/>
      <c r="P68" s="272"/>
    </row>
    <row r="69" spans="1:16" ht="15.65" customHeight="1" x14ac:dyDescent="0.3">
      <c r="A69" s="296" t="s">
        <v>95</v>
      </c>
      <c r="B69" s="282" t="s">
        <v>26</v>
      </c>
      <c r="C69" s="97" t="s">
        <v>54</v>
      </c>
      <c r="D69" s="23" t="s">
        <v>96</v>
      </c>
      <c r="E69" s="24">
        <f t="shared" si="1"/>
        <v>4</v>
      </c>
      <c r="F69" s="156">
        <v>3</v>
      </c>
      <c r="G69" s="99"/>
      <c r="H69" s="100"/>
      <c r="I69" s="102"/>
      <c r="J69" s="103"/>
      <c r="K69" s="310" t="s">
        <v>97</v>
      </c>
      <c r="L69" s="157"/>
      <c r="M69" s="104"/>
      <c r="N69" s="32"/>
      <c r="O69" s="279">
        <v>44</v>
      </c>
      <c r="P69" s="291"/>
    </row>
    <row r="70" spans="1:16" ht="15.65" customHeight="1" x14ac:dyDescent="0.3">
      <c r="A70" s="289"/>
      <c r="B70" s="241"/>
      <c r="C70" s="113" t="s">
        <v>54</v>
      </c>
      <c r="D70" s="34" t="s">
        <v>98</v>
      </c>
      <c r="E70" s="35">
        <f t="shared" si="1"/>
        <v>4</v>
      </c>
      <c r="F70" s="36">
        <v>3</v>
      </c>
      <c r="G70" s="114"/>
      <c r="H70" s="130"/>
      <c r="I70" s="132"/>
      <c r="J70" s="158"/>
      <c r="K70" s="262"/>
      <c r="L70" s="133"/>
      <c r="M70" s="119"/>
      <c r="N70" s="43"/>
      <c r="O70" s="247"/>
      <c r="P70" s="272"/>
    </row>
    <row r="71" spans="1:16" ht="15.65" customHeight="1" x14ac:dyDescent="0.3">
      <c r="A71" s="289"/>
      <c r="B71" s="251" t="s">
        <v>38</v>
      </c>
      <c r="C71" s="106" t="s">
        <v>54</v>
      </c>
      <c r="D71" s="48" t="s">
        <v>99</v>
      </c>
      <c r="E71" s="49">
        <f t="shared" ref="E71:E102" si="2">IFERROR(VLOOKUP(D71, 기본학점, 2, FALSE), "")</f>
        <v>4</v>
      </c>
      <c r="F71" s="59">
        <v>3</v>
      </c>
      <c r="G71" s="107"/>
      <c r="H71" s="108"/>
      <c r="I71" s="110"/>
      <c r="J71" s="111"/>
      <c r="K71" s="262"/>
      <c r="L71" s="126"/>
      <c r="M71" s="112"/>
      <c r="N71" s="56"/>
      <c r="O71" s="247"/>
      <c r="P71" s="272"/>
    </row>
    <row r="72" spans="1:16" ht="15.65" customHeight="1" x14ac:dyDescent="0.3">
      <c r="A72" s="289"/>
      <c r="B72" s="241"/>
      <c r="C72" s="113" t="s">
        <v>54</v>
      </c>
      <c r="D72" s="34" t="s">
        <v>100</v>
      </c>
      <c r="E72" s="35">
        <f t="shared" si="2"/>
        <v>4</v>
      </c>
      <c r="F72" s="36">
        <v>3</v>
      </c>
      <c r="G72" s="114"/>
      <c r="H72" s="115"/>
      <c r="I72" s="117"/>
      <c r="J72" s="118"/>
      <c r="K72" s="262"/>
      <c r="L72" s="130"/>
      <c r="M72" s="119"/>
      <c r="N72" s="43"/>
      <c r="O72" s="247"/>
      <c r="P72" s="272"/>
    </row>
    <row r="73" spans="1:16" ht="15.65" customHeight="1" x14ac:dyDescent="0.3">
      <c r="A73" s="289"/>
      <c r="B73" s="241"/>
      <c r="C73" s="113" t="s">
        <v>51</v>
      </c>
      <c r="D73" s="34" t="s">
        <v>101</v>
      </c>
      <c r="E73" s="35">
        <f t="shared" si="2"/>
        <v>4</v>
      </c>
      <c r="F73" s="36">
        <v>3</v>
      </c>
      <c r="G73" s="114"/>
      <c r="H73" s="115"/>
      <c r="I73" s="117"/>
      <c r="J73" s="118"/>
      <c r="K73" s="262"/>
      <c r="L73" s="130"/>
      <c r="M73" s="119"/>
      <c r="N73" s="43"/>
      <c r="O73" s="247"/>
      <c r="P73" s="272"/>
    </row>
    <row r="74" spans="1:16" ht="15.65" customHeight="1" x14ac:dyDescent="0.3">
      <c r="A74" s="289"/>
      <c r="B74" s="241"/>
      <c r="C74" s="113" t="s">
        <v>51</v>
      </c>
      <c r="D74" s="34" t="s">
        <v>102</v>
      </c>
      <c r="E74" s="35">
        <f t="shared" si="2"/>
        <v>4</v>
      </c>
      <c r="F74" s="36">
        <v>3</v>
      </c>
      <c r="G74" s="114"/>
      <c r="H74" s="115"/>
      <c r="I74" s="117"/>
      <c r="J74" s="118"/>
      <c r="K74" s="262"/>
      <c r="L74" s="130"/>
      <c r="M74" s="119"/>
      <c r="N74" s="43"/>
      <c r="O74" s="247"/>
      <c r="P74" s="272"/>
    </row>
    <row r="75" spans="1:16" ht="15.65" customHeight="1" x14ac:dyDescent="0.3">
      <c r="A75" s="289"/>
      <c r="B75" s="252"/>
      <c r="C75" s="137" t="s">
        <v>51</v>
      </c>
      <c r="D75" s="62" t="s">
        <v>103</v>
      </c>
      <c r="E75" s="138">
        <f t="shared" si="2"/>
        <v>4</v>
      </c>
      <c r="F75" s="138">
        <v>3</v>
      </c>
      <c r="G75" s="161"/>
      <c r="H75" s="162"/>
      <c r="I75" s="163"/>
      <c r="J75" s="164"/>
      <c r="K75" s="262"/>
      <c r="L75" s="164"/>
      <c r="M75" s="165"/>
      <c r="N75" s="145"/>
      <c r="O75" s="247"/>
      <c r="P75" s="272"/>
    </row>
    <row r="76" spans="1:16" ht="15.65" customHeight="1" x14ac:dyDescent="0.3">
      <c r="A76" s="289"/>
      <c r="B76" s="251" t="s">
        <v>43</v>
      </c>
      <c r="C76" s="106" t="s">
        <v>54</v>
      </c>
      <c r="D76" s="48" t="s">
        <v>104</v>
      </c>
      <c r="E76" s="49">
        <f t="shared" si="2"/>
        <v>4</v>
      </c>
      <c r="F76" s="59">
        <v>3</v>
      </c>
      <c r="G76" s="107"/>
      <c r="H76" s="108"/>
      <c r="I76" s="166"/>
      <c r="J76" s="167"/>
      <c r="K76" s="262"/>
      <c r="L76" s="122"/>
      <c r="M76" s="112"/>
      <c r="N76" s="56"/>
      <c r="O76" s="247"/>
      <c r="P76" s="272"/>
    </row>
    <row r="77" spans="1:16" ht="15.65" customHeight="1" x14ac:dyDescent="0.3">
      <c r="A77" s="289"/>
      <c r="B77" s="241"/>
      <c r="C77" s="113" t="s">
        <v>54</v>
      </c>
      <c r="D77" s="34" t="s">
        <v>105</v>
      </c>
      <c r="E77" s="35">
        <f t="shared" si="2"/>
        <v>4</v>
      </c>
      <c r="F77" s="36">
        <v>3</v>
      </c>
      <c r="G77" s="114"/>
      <c r="H77" s="115"/>
      <c r="I77" s="168"/>
      <c r="J77" s="169"/>
      <c r="K77" s="262"/>
      <c r="L77" s="125"/>
      <c r="M77" s="119"/>
      <c r="N77" s="43"/>
      <c r="O77" s="247"/>
      <c r="P77" s="272"/>
    </row>
    <row r="78" spans="1:16" ht="15.65" customHeight="1" x14ac:dyDescent="0.3">
      <c r="A78" s="289"/>
      <c r="B78" s="241"/>
      <c r="C78" s="113" t="s">
        <v>54</v>
      </c>
      <c r="D78" s="34" t="s">
        <v>106</v>
      </c>
      <c r="E78" s="63">
        <f t="shared" si="2"/>
        <v>4</v>
      </c>
      <c r="F78" s="72">
        <v>3</v>
      </c>
      <c r="G78" s="114"/>
      <c r="H78" s="115"/>
      <c r="I78" s="168"/>
      <c r="J78" s="169"/>
      <c r="K78" s="262"/>
      <c r="L78" s="125"/>
      <c r="M78" s="119"/>
      <c r="N78" s="43"/>
      <c r="O78" s="247"/>
      <c r="P78" s="272"/>
    </row>
    <row r="79" spans="1:16" ht="15.65" customHeight="1" x14ac:dyDescent="0.3">
      <c r="A79" s="289"/>
      <c r="B79" s="241"/>
      <c r="C79" s="113" t="s">
        <v>54</v>
      </c>
      <c r="D79" s="34" t="s">
        <v>107</v>
      </c>
      <c r="E79" s="35">
        <f t="shared" si="2"/>
        <v>4</v>
      </c>
      <c r="F79" s="36">
        <v>3</v>
      </c>
      <c r="G79" s="170"/>
      <c r="H79" s="130"/>
      <c r="I79" s="132"/>
      <c r="J79" s="158"/>
      <c r="K79" s="262"/>
      <c r="L79" s="133"/>
      <c r="M79" s="119"/>
      <c r="N79" s="43"/>
      <c r="O79" s="247"/>
      <c r="P79" s="272"/>
    </row>
    <row r="80" spans="1:16" ht="15.65" customHeight="1" x14ac:dyDescent="0.3">
      <c r="A80" s="289"/>
      <c r="B80" s="252"/>
      <c r="C80" s="171" t="s">
        <v>51</v>
      </c>
      <c r="D80" s="62" t="s">
        <v>108</v>
      </c>
      <c r="E80" s="138">
        <f t="shared" si="2"/>
        <v>4</v>
      </c>
      <c r="F80" s="172">
        <v>3</v>
      </c>
      <c r="G80" s="173"/>
      <c r="H80" s="174"/>
      <c r="I80" s="175"/>
      <c r="J80" s="176"/>
      <c r="K80" s="262"/>
      <c r="L80" s="176"/>
      <c r="M80" s="165"/>
      <c r="N80" s="177"/>
      <c r="O80" s="247"/>
      <c r="P80" s="272"/>
    </row>
    <row r="81" spans="1:16" ht="15.65" customHeight="1" x14ac:dyDescent="0.3">
      <c r="A81" s="289"/>
      <c r="B81" s="240" t="s">
        <v>62</v>
      </c>
      <c r="C81" s="106" t="s">
        <v>54</v>
      </c>
      <c r="D81" s="48" t="s">
        <v>109</v>
      </c>
      <c r="E81" s="49">
        <f t="shared" si="2"/>
        <v>4</v>
      </c>
      <c r="F81" s="59">
        <v>3</v>
      </c>
      <c r="G81" s="178"/>
      <c r="H81" s="126"/>
      <c r="I81" s="128"/>
      <c r="J81" s="136"/>
      <c r="K81" s="262"/>
      <c r="L81" s="129"/>
      <c r="M81" s="112"/>
      <c r="N81" s="47"/>
      <c r="O81" s="247"/>
      <c r="P81" s="272"/>
    </row>
    <row r="82" spans="1:16" ht="15.65" customHeight="1" x14ac:dyDescent="0.3">
      <c r="A82" s="289"/>
      <c r="B82" s="241"/>
      <c r="C82" s="113" t="s">
        <v>51</v>
      </c>
      <c r="D82" s="34" t="s">
        <v>110</v>
      </c>
      <c r="E82" s="35">
        <f t="shared" si="2"/>
        <v>4</v>
      </c>
      <c r="F82" s="36">
        <v>3</v>
      </c>
      <c r="G82" s="170"/>
      <c r="H82" s="130"/>
      <c r="I82" s="132"/>
      <c r="J82" s="158"/>
      <c r="K82" s="262"/>
      <c r="L82" s="133"/>
      <c r="M82" s="119"/>
      <c r="N82" s="43"/>
      <c r="O82" s="247"/>
      <c r="P82" s="272"/>
    </row>
    <row r="83" spans="1:16" ht="15.65" customHeight="1" x14ac:dyDescent="0.3">
      <c r="A83" s="289"/>
      <c r="B83" s="240" t="s">
        <v>76</v>
      </c>
      <c r="C83" s="106" t="s">
        <v>54</v>
      </c>
      <c r="D83" s="48" t="s">
        <v>111</v>
      </c>
      <c r="E83" s="49">
        <f t="shared" si="2"/>
        <v>4</v>
      </c>
      <c r="F83" s="50">
        <v>3</v>
      </c>
      <c r="G83" s="107"/>
      <c r="H83" s="126"/>
      <c r="I83" s="128"/>
      <c r="J83" s="136"/>
      <c r="K83" s="262"/>
      <c r="L83" s="129"/>
      <c r="M83" s="112"/>
      <c r="N83" s="47"/>
      <c r="O83" s="247"/>
      <c r="P83" s="272"/>
    </row>
    <row r="84" spans="1:16" ht="15.65" customHeight="1" x14ac:dyDescent="0.3">
      <c r="A84" s="289"/>
      <c r="B84" s="241"/>
      <c r="C84" s="113" t="s">
        <v>54</v>
      </c>
      <c r="D84" s="34" t="s">
        <v>112</v>
      </c>
      <c r="E84" s="35">
        <f t="shared" si="2"/>
        <v>4</v>
      </c>
      <c r="F84" s="36">
        <v>3</v>
      </c>
      <c r="G84" s="114"/>
      <c r="H84" s="130"/>
      <c r="I84" s="132"/>
      <c r="J84" s="158"/>
      <c r="K84" s="263"/>
      <c r="L84" s="133"/>
      <c r="M84" s="119"/>
      <c r="N84" s="43"/>
      <c r="O84" s="247"/>
      <c r="P84" s="272"/>
    </row>
    <row r="85" spans="1:16" ht="15.65" customHeight="1" x14ac:dyDescent="0.3">
      <c r="A85" s="289"/>
      <c r="B85" s="251" t="s">
        <v>113</v>
      </c>
      <c r="C85" s="106" t="s">
        <v>22</v>
      </c>
      <c r="D85" s="48" t="s">
        <v>114</v>
      </c>
      <c r="E85" s="49">
        <f t="shared" si="2"/>
        <v>3</v>
      </c>
      <c r="F85" s="50">
        <v>2</v>
      </c>
      <c r="G85" s="107"/>
      <c r="H85" s="126"/>
      <c r="I85" s="128"/>
      <c r="J85" s="136"/>
      <c r="K85" s="261" t="s">
        <v>115</v>
      </c>
      <c r="L85" s="129"/>
      <c r="M85" s="112"/>
      <c r="N85" s="56"/>
      <c r="O85" s="247"/>
      <c r="P85" s="272"/>
    </row>
    <row r="86" spans="1:16" ht="15.65" customHeight="1" x14ac:dyDescent="0.3">
      <c r="A86" s="289"/>
      <c r="B86" s="241"/>
      <c r="C86" s="113" t="s">
        <v>54</v>
      </c>
      <c r="D86" s="34" t="s">
        <v>116</v>
      </c>
      <c r="E86" s="35">
        <f t="shared" si="2"/>
        <v>3</v>
      </c>
      <c r="F86" s="57">
        <v>2</v>
      </c>
      <c r="G86" s="114"/>
      <c r="H86" s="130"/>
      <c r="I86" s="132"/>
      <c r="J86" s="158"/>
      <c r="K86" s="262"/>
      <c r="L86" s="133"/>
      <c r="M86" s="119"/>
      <c r="N86" s="43"/>
      <c r="O86" s="247"/>
      <c r="P86" s="272"/>
    </row>
    <row r="87" spans="1:16" ht="15.65" customHeight="1" x14ac:dyDescent="0.3">
      <c r="A87" s="289"/>
      <c r="B87" s="241"/>
      <c r="C87" s="113" t="s">
        <v>54</v>
      </c>
      <c r="D87" s="34" t="s">
        <v>117</v>
      </c>
      <c r="E87" s="57">
        <f t="shared" si="2"/>
        <v>3</v>
      </c>
      <c r="F87" s="72">
        <v>2</v>
      </c>
      <c r="G87" s="114"/>
      <c r="H87" s="130"/>
      <c r="I87" s="132"/>
      <c r="J87" s="158"/>
      <c r="K87" s="262"/>
      <c r="L87" s="133"/>
      <c r="M87" s="119"/>
      <c r="N87" s="43"/>
      <c r="O87" s="247"/>
      <c r="P87" s="272"/>
    </row>
    <row r="88" spans="1:16" ht="15.65" customHeight="1" x14ac:dyDescent="0.3">
      <c r="A88" s="289"/>
      <c r="B88" s="241"/>
      <c r="C88" s="113" t="s">
        <v>51</v>
      </c>
      <c r="D88" s="34" t="s">
        <v>118</v>
      </c>
      <c r="E88" s="71">
        <f t="shared" si="2"/>
        <v>3</v>
      </c>
      <c r="F88" s="57">
        <v>2</v>
      </c>
      <c r="G88" s="114"/>
      <c r="H88" s="130"/>
      <c r="I88" s="132"/>
      <c r="J88" s="158"/>
      <c r="K88" s="262"/>
      <c r="L88" s="133"/>
      <c r="M88" s="119"/>
      <c r="N88" s="43"/>
      <c r="O88" s="247"/>
      <c r="P88" s="272"/>
    </row>
    <row r="89" spans="1:16" ht="15.65" customHeight="1" x14ac:dyDescent="0.3">
      <c r="A89" s="289"/>
      <c r="B89" s="252"/>
      <c r="C89" s="137" t="s">
        <v>51</v>
      </c>
      <c r="D89" s="62" t="s">
        <v>119</v>
      </c>
      <c r="E89" s="138">
        <f t="shared" si="2"/>
        <v>3</v>
      </c>
      <c r="F89" s="138">
        <v>2</v>
      </c>
      <c r="G89" s="161"/>
      <c r="H89" s="174"/>
      <c r="I89" s="175"/>
      <c r="J89" s="134"/>
      <c r="K89" s="263"/>
      <c r="L89" s="176"/>
      <c r="M89" s="165"/>
      <c r="N89" s="179"/>
      <c r="O89" s="247"/>
      <c r="P89" s="272"/>
    </row>
    <row r="90" spans="1:16" ht="15.65" customHeight="1" x14ac:dyDescent="0.3">
      <c r="A90" s="289"/>
      <c r="B90" s="275" t="s">
        <v>18</v>
      </c>
      <c r="C90" s="180" t="s">
        <v>54</v>
      </c>
      <c r="D90" s="70" t="s">
        <v>120</v>
      </c>
      <c r="E90" s="181">
        <f t="shared" si="2"/>
        <v>4</v>
      </c>
      <c r="F90" s="181">
        <v>4</v>
      </c>
      <c r="G90" s="182"/>
      <c r="H90" s="183"/>
      <c r="I90" s="184"/>
      <c r="J90" s="185"/>
      <c r="K90" s="186"/>
      <c r="L90" s="311" t="s">
        <v>121</v>
      </c>
      <c r="M90" s="188"/>
      <c r="N90" s="69"/>
      <c r="O90" s="247"/>
      <c r="P90" s="272"/>
    </row>
    <row r="91" spans="1:16" ht="15.65" customHeight="1" x14ac:dyDescent="0.3">
      <c r="A91" s="289"/>
      <c r="B91" s="241"/>
      <c r="C91" s="113" t="s">
        <v>51</v>
      </c>
      <c r="D91" s="34" t="s">
        <v>122</v>
      </c>
      <c r="E91" s="35">
        <f t="shared" si="2"/>
        <v>4</v>
      </c>
      <c r="F91" s="36">
        <v>4</v>
      </c>
      <c r="G91" s="114"/>
      <c r="H91" s="130"/>
      <c r="I91" s="189"/>
      <c r="J91" s="158"/>
      <c r="K91" s="190"/>
      <c r="L91" s="250"/>
      <c r="M91" s="119"/>
      <c r="N91" s="43"/>
      <c r="O91" s="247"/>
      <c r="P91" s="272"/>
    </row>
    <row r="92" spans="1:16" ht="15.65" customHeight="1" x14ac:dyDescent="0.3">
      <c r="A92" s="289"/>
      <c r="B92" s="240" t="s">
        <v>32</v>
      </c>
      <c r="C92" s="106" t="s">
        <v>54</v>
      </c>
      <c r="D92" s="48" t="s">
        <v>123</v>
      </c>
      <c r="E92" s="49">
        <f t="shared" si="2"/>
        <v>4</v>
      </c>
      <c r="F92" s="50">
        <v>4</v>
      </c>
      <c r="G92" s="107"/>
      <c r="H92" s="126"/>
      <c r="I92" s="191"/>
      <c r="J92" s="136"/>
      <c r="K92" s="192"/>
      <c r="L92" s="250"/>
      <c r="M92" s="112"/>
      <c r="N92" s="56"/>
      <c r="O92" s="247"/>
      <c r="P92" s="272"/>
    </row>
    <row r="93" spans="1:16" ht="15.65" customHeight="1" x14ac:dyDescent="0.3">
      <c r="A93" s="289"/>
      <c r="B93" s="241"/>
      <c r="C93" s="113" t="s">
        <v>54</v>
      </c>
      <c r="D93" s="34" t="s">
        <v>124</v>
      </c>
      <c r="E93" s="35">
        <f t="shared" si="2"/>
        <v>4</v>
      </c>
      <c r="F93" s="36">
        <v>4</v>
      </c>
      <c r="G93" s="114"/>
      <c r="H93" s="130"/>
      <c r="I93" s="189"/>
      <c r="J93" s="158"/>
      <c r="K93" s="190"/>
      <c r="L93" s="309"/>
      <c r="M93" s="119"/>
      <c r="N93" s="43"/>
      <c r="O93" s="247"/>
      <c r="P93" s="272"/>
    </row>
    <row r="94" spans="1:16" ht="15.65" customHeight="1" x14ac:dyDescent="0.3">
      <c r="A94" s="289"/>
      <c r="B94" s="46" t="s">
        <v>26</v>
      </c>
      <c r="C94" s="106" t="s">
        <v>51</v>
      </c>
      <c r="D94" s="48" t="s">
        <v>125</v>
      </c>
      <c r="E94" s="49">
        <f t="shared" si="2"/>
        <v>4</v>
      </c>
      <c r="F94" s="50">
        <v>3</v>
      </c>
      <c r="G94" s="107"/>
      <c r="H94" s="126"/>
      <c r="I94" s="121"/>
      <c r="J94" s="129"/>
      <c r="K94" s="127"/>
      <c r="L94" s="308" t="s">
        <v>97</v>
      </c>
      <c r="M94" s="112"/>
      <c r="N94" s="47"/>
      <c r="O94" s="247"/>
      <c r="P94" s="272"/>
    </row>
    <row r="95" spans="1:16" ht="15.65" customHeight="1" x14ac:dyDescent="0.3">
      <c r="A95" s="289"/>
      <c r="B95" s="251" t="s">
        <v>38</v>
      </c>
      <c r="C95" s="106" t="s">
        <v>54</v>
      </c>
      <c r="D95" s="48" t="s">
        <v>126</v>
      </c>
      <c r="E95" s="49">
        <f t="shared" si="2"/>
        <v>4</v>
      </c>
      <c r="F95" s="59">
        <v>3</v>
      </c>
      <c r="G95" s="107"/>
      <c r="H95" s="108"/>
      <c r="I95" s="110"/>
      <c r="J95" s="111"/>
      <c r="K95" s="194"/>
      <c r="L95" s="250"/>
      <c r="M95" s="112"/>
      <c r="N95" s="56"/>
      <c r="O95" s="247"/>
      <c r="P95" s="272"/>
    </row>
    <row r="96" spans="1:16" ht="15.65" customHeight="1" x14ac:dyDescent="0.3">
      <c r="A96" s="289"/>
      <c r="B96" s="241"/>
      <c r="C96" s="113" t="s">
        <v>51</v>
      </c>
      <c r="D96" s="34" t="s">
        <v>127</v>
      </c>
      <c r="E96" s="35">
        <f t="shared" si="2"/>
        <v>4</v>
      </c>
      <c r="F96" s="36">
        <v>3</v>
      </c>
      <c r="G96" s="114"/>
      <c r="H96" s="115"/>
      <c r="I96" s="117"/>
      <c r="J96" s="118"/>
      <c r="K96" s="195"/>
      <c r="L96" s="250"/>
      <c r="M96" s="119"/>
      <c r="N96" s="43"/>
      <c r="O96" s="247"/>
      <c r="P96" s="272"/>
    </row>
    <row r="97" spans="1:20" ht="15.65" customHeight="1" x14ac:dyDescent="0.3">
      <c r="A97" s="289"/>
      <c r="B97" s="241"/>
      <c r="C97" s="113" t="s">
        <v>51</v>
      </c>
      <c r="D97" s="34" t="s">
        <v>128</v>
      </c>
      <c r="E97" s="35">
        <f t="shared" si="2"/>
        <v>4</v>
      </c>
      <c r="F97" s="36">
        <v>3</v>
      </c>
      <c r="G97" s="114"/>
      <c r="H97" s="115"/>
      <c r="I97" s="117"/>
      <c r="J97" s="118"/>
      <c r="K97" s="195"/>
      <c r="L97" s="250"/>
      <c r="M97" s="119"/>
      <c r="N97" s="43"/>
      <c r="O97" s="247"/>
      <c r="P97" s="272"/>
    </row>
    <row r="98" spans="1:20" ht="15.65" customHeight="1" x14ac:dyDescent="0.3">
      <c r="A98" s="289"/>
      <c r="B98" s="241"/>
      <c r="C98" s="113" t="s">
        <v>54</v>
      </c>
      <c r="D98" s="34" t="s">
        <v>129</v>
      </c>
      <c r="E98" s="35">
        <f t="shared" si="2"/>
        <v>4</v>
      </c>
      <c r="F98" s="36">
        <v>3</v>
      </c>
      <c r="G98" s="114"/>
      <c r="H98" s="115"/>
      <c r="I98" s="117"/>
      <c r="J98" s="118"/>
      <c r="K98" s="195"/>
      <c r="L98" s="250"/>
      <c r="M98" s="119"/>
      <c r="N98" s="43"/>
      <c r="O98" s="247"/>
      <c r="P98" s="272"/>
    </row>
    <row r="99" spans="1:20" ht="15.65" customHeight="1" x14ac:dyDescent="0.3">
      <c r="A99" s="289"/>
      <c r="B99" s="252"/>
      <c r="C99" s="137" t="s">
        <v>51</v>
      </c>
      <c r="D99" s="62" t="s">
        <v>130</v>
      </c>
      <c r="E99" s="138">
        <f t="shared" si="2"/>
        <v>4</v>
      </c>
      <c r="F99" s="138">
        <v>3</v>
      </c>
      <c r="G99" s="161"/>
      <c r="H99" s="162"/>
      <c r="I99" s="163"/>
      <c r="J99" s="164"/>
      <c r="K99" s="196"/>
      <c r="L99" s="250"/>
      <c r="M99" s="165"/>
      <c r="N99" s="145"/>
      <c r="O99" s="247"/>
      <c r="P99" s="272"/>
    </row>
    <row r="100" spans="1:20" ht="15.65" customHeight="1" x14ac:dyDescent="0.3">
      <c r="A100" s="289"/>
      <c r="B100" s="240" t="s">
        <v>43</v>
      </c>
      <c r="C100" s="106" t="s">
        <v>51</v>
      </c>
      <c r="D100" s="48" t="s">
        <v>131</v>
      </c>
      <c r="E100" s="49">
        <f t="shared" si="2"/>
        <v>4</v>
      </c>
      <c r="F100" s="59">
        <v>3</v>
      </c>
      <c r="G100" s="107"/>
      <c r="H100" s="108"/>
      <c r="I100" s="121"/>
      <c r="J100" s="122"/>
      <c r="K100" s="197"/>
      <c r="L100" s="250"/>
      <c r="M100" s="112"/>
      <c r="N100" s="56"/>
      <c r="O100" s="247"/>
      <c r="P100" s="272"/>
    </row>
    <row r="101" spans="1:20" ht="15.65" customHeight="1" x14ac:dyDescent="0.3">
      <c r="A101" s="289"/>
      <c r="B101" s="241"/>
      <c r="C101" s="113" t="s">
        <v>51</v>
      </c>
      <c r="D101" s="34" t="s">
        <v>132</v>
      </c>
      <c r="E101" s="35">
        <f t="shared" si="2"/>
        <v>4</v>
      </c>
      <c r="F101" s="36">
        <v>3</v>
      </c>
      <c r="G101" s="114"/>
      <c r="H101" s="115"/>
      <c r="I101" s="124"/>
      <c r="J101" s="125"/>
      <c r="K101" s="198"/>
      <c r="L101" s="250"/>
      <c r="M101" s="119"/>
      <c r="N101" s="43"/>
      <c r="O101" s="247"/>
      <c r="P101" s="272"/>
    </row>
    <row r="102" spans="1:20" ht="15.65" customHeight="1" x14ac:dyDescent="0.3">
      <c r="A102" s="289"/>
      <c r="B102" s="241"/>
      <c r="C102" s="113" t="s">
        <v>51</v>
      </c>
      <c r="D102" s="34" t="s">
        <v>133</v>
      </c>
      <c r="E102" s="35">
        <v>4</v>
      </c>
      <c r="F102" s="36">
        <v>3</v>
      </c>
      <c r="G102" s="114"/>
      <c r="H102" s="115"/>
      <c r="I102" s="124"/>
      <c r="J102" s="125"/>
      <c r="K102" s="198"/>
      <c r="L102" s="250"/>
      <c r="M102" s="119" t="s">
        <v>134</v>
      </c>
      <c r="N102" s="43"/>
      <c r="O102" s="247"/>
      <c r="P102" s="272"/>
    </row>
    <row r="103" spans="1:20" ht="15.65" customHeight="1" x14ac:dyDescent="0.3">
      <c r="A103" s="289"/>
      <c r="B103" s="241"/>
      <c r="C103" s="113" t="s">
        <v>51</v>
      </c>
      <c r="D103" s="34" t="s">
        <v>135</v>
      </c>
      <c r="E103" s="35">
        <v>4</v>
      </c>
      <c r="F103" s="36">
        <v>3</v>
      </c>
      <c r="G103" s="114"/>
      <c r="H103" s="115"/>
      <c r="I103" s="124"/>
      <c r="J103" s="125"/>
      <c r="K103" s="198"/>
      <c r="L103" s="250"/>
      <c r="M103" s="119" t="s">
        <v>134</v>
      </c>
      <c r="N103" s="43"/>
      <c r="O103" s="247"/>
      <c r="P103" s="272"/>
    </row>
    <row r="104" spans="1:20" ht="15.65" customHeight="1" x14ac:dyDescent="0.3">
      <c r="A104" s="289"/>
      <c r="B104" s="240" t="s">
        <v>62</v>
      </c>
      <c r="C104" s="106" t="s">
        <v>54</v>
      </c>
      <c r="D104" s="48" t="s">
        <v>136</v>
      </c>
      <c r="E104" s="49">
        <f t="shared" ref="E104:E113" si="3">IFERROR(VLOOKUP(D104, 기본학점, 2, FALSE), "")</f>
        <v>4</v>
      </c>
      <c r="F104" s="59">
        <v>3</v>
      </c>
      <c r="G104" s="107"/>
      <c r="H104" s="126"/>
      <c r="I104" s="121"/>
      <c r="J104" s="129"/>
      <c r="K104" s="197"/>
      <c r="L104" s="250"/>
      <c r="M104" s="112"/>
      <c r="N104" s="47"/>
      <c r="O104" s="247"/>
      <c r="P104" s="272"/>
    </row>
    <row r="105" spans="1:20" ht="15.65" customHeight="1" x14ac:dyDescent="0.3">
      <c r="A105" s="289"/>
      <c r="B105" s="241"/>
      <c r="C105" s="113" t="s">
        <v>51</v>
      </c>
      <c r="D105" s="34" t="s">
        <v>137</v>
      </c>
      <c r="E105" s="35">
        <f t="shared" si="3"/>
        <v>4</v>
      </c>
      <c r="F105" s="36">
        <v>3</v>
      </c>
      <c r="G105" s="114"/>
      <c r="H105" s="130"/>
      <c r="I105" s="124"/>
      <c r="J105" s="133"/>
      <c r="K105" s="198"/>
      <c r="L105" s="250"/>
      <c r="M105" s="119"/>
      <c r="N105" s="43"/>
      <c r="O105" s="247"/>
      <c r="P105" s="272"/>
    </row>
    <row r="106" spans="1:20" ht="15.65" customHeight="1" x14ac:dyDescent="0.3">
      <c r="A106" s="289"/>
      <c r="B106" s="240" t="s">
        <v>76</v>
      </c>
      <c r="C106" s="106" t="s">
        <v>51</v>
      </c>
      <c r="D106" s="48" t="s">
        <v>138</v>
      </c>
      <c r="E106" s="49">
        <f t="shared" si="3"/>
        <v>4</v>
      </c>
      <c r="F106" s="59">
        <v>3</v>
      </c>
      <c r="G106" s="107"/>
      <c r="H106" s="126"/>
      <c r="I106" s="121"/>
      <c r="J106" s="129"/>
      <c r="K106" s="127"/>
      <c r="L106" s="250"/>
      <c r="M106" s="112"/>
      <c r="N106" s="47"/>
      <c r="O106" s="247"/>
      <c r="P106" s="272"/>
    </row>
    <row r="107" spans="1:20" ht="15.65" customHeight="1" x14ac:dyDescent="0.3">
      <c r="A107" s="289"/>
      <c r="B107" s="241"/>
      <c r="C107" s="113" t="s">
        <v>51</v>
      </c>
      <c r="D107" s="34" t="s">
        <v>139</v>
      </c>
      <c r="E107" s="35">
        <f t="shared" si="3"/>
        <v>4</v>
      </c>
      <c r="F107" s="36">
        <v>3</v>
      </c>
      <c r="G107" s="114"/>
      <c r="H107" s="130"/>
      <c r="I107" s="124"/>
      <c r="J107" s="133"/>
      <c r="K107" s="131"/>
      <c r="L107" s="309"/>
      <c r="M107" s="119"/>
      <c r="N107" s="43"/>
      <c r="O107" s="247"/>
      <c r="P107" s="272"/>
      <c r="T107" t="s">
        <v>140</v>
      </c>
    </row>
    <row r="108" spans="1:20" ht="15.65" customHeight="1" x14ac:dyDescent="0.3">
      <c r="A108" s="289"/>
      <c r="B108" s="237" t="s">
        <v>113</v>
      </c>
      <c r="C108" s="106" t="s">
        <v>22</v>
      </c>
      <c r="D108" s="48" t="s">
        <v>114</v>
      </c>
      <c r="E108" s="49">
        <f t="shared" si="3"/>
        <v>3</v>
      </c>
      <c r="F108" s="50">
        <v>2</v>
      </c>
      <c r="G108" s="107"/>
      <c r="H108" s="126"/>
      <c r="I108" s="121"/>
      <c r="J108" s="129"/>
      <c r="K108" s="127"/>
      <c r="L108" s="249" t="s">
        <v>141</v>
      </c>
      <c r="M108" s="112"/>
      <c r="N108" s="47"/>
      <c r="O108" s="247"/>
      <c r="P108" s="272"/>
    </row>
    <row r="109" spans="1:20" ht="15.65" customHeight="1" x14ac:dyDescent="0.3">
      <c r="A109" s="289"/>
      <c r="B109" s="241"/>
      <c r="C109" s="180" t="s">
        <v>54</v>
      </c>
      <c r="D109" s="70" t="s">
        <v>116</v>
      </c>
      <c r="E109" s="57">
        <f t="shared" si="3"/>
        <v>3</v>
      </c>
      <c r="F109" s="72">
        <v>2</v>
      </c>
      <c r="G109" s="182"/>
      <c r="H109" s="183"/>
      <c r="I109" s="200"/>
      <c r="J109" s="201"/>
      <c r="K109" s="202"/>
      <c r="L109" s="250"/>
      <c r="M109" s="188"/>
      <c r="N109" s="203"/>
      <c r="O109" s="247"/>
      <c r="P109" s="272"/>
    </row>
    <row r="110" spans="1:20" ht="15.65" customHeight="1" x14ac:dyDescent="0.3">
      <c r="A110" s="289"/>
      <c r="B110" s="241"/>
      <c r="C110" s="113" t="s">
        <v>54</v>
      </c>
      <c r="D110" s="34" t="s">
        <v>117</v>
      </c>
      <c r="E110" s="71">
        <f t="shared" si="3"/>
        <v>3</v>
      </c>
      <c r="F110" s="57">
        <v>2</v>
      </c>
      <c r="G110" s="114"/>
      <c r="H110" s="130"/>
      <c r="I110" s="124"/>
      <c r="J110" s="133"/>
      <c r="K110" s="131"/>
      <c r="L110" s="250"/>
      <c r="M110" s="119"/>
      <c r="N110" s="43"/>
      <c r="O110" s="247"/>
      <c r="P110" s="272"/>
    </row>
    <row r="111" spans="1:20" ht="15.65" customHeight="1" x14ac:dyDescent="0.3">
      <c r="A111" s="289"/>
      <c r="B111" s="241"/>
      <c r="C111" s="113" t="s">
        <v>51</v>
      </c>
      <c r="D111" s="34" t="s">
        <v>118</v>
      </c>
      <c r="E111" s="35">
        <f t="shared" si="3"/>
        <v>3</v>
      </c>
      <c r="F111" s="57">
        <v>2</v>
      </c>
      <c r="G111" s="114"/>
      <c r="H111" s="130"/>
      <c r="I111" s="124"/>
      <c r="J111" s="133"/>
      <c r="K111" s="131"/>
      <c r="L111" s="250"/>
      <c r="M111" s="119"/>
      <c r="N111" s="43"/>
      <c r="O111" s="247"/>
      <c r="P111" s="272"/>
    </row>
    <row r="112" spans="1:20" ht="15.65" customHeight="1" thickBot="1" x14ac:dyDescent="0.35">
      <c r="A112" s="290"/>
      <c r="B112" s="284"/>
      <c r="C112" s="146" t="s">
        <v>51</v>
      </c>
      <c r="D112" s="147" t="s">
        <v>119</v>
      </c>
      <c r="E112" s="204">
        <f t="shared" si="3"/>
        <v>3</v>
      </c>
      <c r="F112" s="205">
        <v>2</v>
      </c>
      <c r="G112" s="150"/>
      <c r="H112" s="151"/>
      <c r="I112" s="152"/>
      <c r="J112" s="153"/>
      <c r="K112" s="206"/>
      <c r="L112" s="245"/>
      <c r="M112" s="207"/>
      <c r="N112" s="155"/>
      <c r="O112" s="248"/>
      <c r="P112" s="274"/>
    </row>
    <row r="113" spans="1:19" ht="17.25" hidden="1" customHeight="1" thickBot="1" x14ac:dyDescent="0.35">
      <c r="A113" s="199"/>
      <c r="B113" s="208"/>
      <c r="C113" s="209"/>
      <c r="D113" s="210"/>
      <c r="E113" s="211" t="str">
        <f t="shared" si="3"/>
        <v/>
      </c>
      <c r="F113" s="172"/>
      <c r="G113" s="212"/>
      <c r="H113" s="135"/>
      <c r="I113" s="213"/>
      <c r="J113" s="187"/>
      <c r="K113" s="208"/>
      <c r="L113" s="187"/>
      <c r="M113" s="214"/>
      <c r="N113" s="214"/>
      <c r="O113" s="215"/>
      <c r="P113" s="216"/>
    </row>
    <row r="114" spans="1:19" ht="17.25" customHeight="1" x14ac:dyDescent="0.3">
      <c r="A114" s="306" t="s">
        <v>142</v>
      </c>
      <c r="B114" s="307"/>
      <c r="C114" s="307"/>
      <c r="D114" s="307"/>
      <c r="E114" s="293"/>
      <c r="F114" s="217"/>
      <c r="G114" s="218">
        <f>SUM(G7:G112)</f>
        <v>29</v>
      </c>
      <c r="H114" s="219">
        <f>SUM(H7:H113)</f>
        <v>29</v>
      </c>
      <c r="I114" s="218">
        <v>29</v>
      </c>
      <c r="J114" s="220">
        <v>29</v>
      </c>
      <c r="K114" s="221">
        <v>29</v>
      </c>
      <c r="L114" s="193">
        <v>29</v>
      </c>
      <c r="M114" s="222"/>
      <c r="N114" s="222"/>
      <c r="O114" s="223">
        <f>SUM(G114:L114)</f>
        <v>174</v>
      </c>
      <c r="P114" s="68">
        <v>174</v>
      </c>
      <c r="Q114" s="1"/>
    </row>
    <row r="115" spans="1:19" ht="15" x14ac:dyDescent="0.3">
      <c r="A115" s="251" t="s">
        <v>143</v>
      </c>
      <c r="B115" s="259"/>
      <c r="C115" s="259"/>
      <c r="D115" s="259"/>
      <c r="E115" s="260"/>
      <c r="F115" s="225">
        <v>18</v>
      </c>
      <c r="G115" s="213">
        <v>3</v>
      </c>
      <c r="H115" s="187">
        <v>3</v>
      </c>
      <c r="I115" s="159">
        <v>3</v>
      </c>
      <c r="J115" s="187">
        <v>3</v>
      </c>
      <c r="K115" s="159">
        <v>3</v>
      </c>
      <c r="L115" s="226">
        <v>3</v>
      </c>
      <c r="M115" s="160"/>
      <c r="N115" s="213"/>
      <c r="O115" s="213">
        <f>SUM(G115:L115)</f>
        <v>18</v>
      </c>
      <c r="P115" s="44">
        <v>18</v>
      </c>
    </row>
    <row r="116" spans="1:19" ht="15" customHeight="1" x14ac:dyDescent="0.3">
      <c r="A116" s="251" t="s">
        <v>144</v>
      </c>
      <c r="B116" s="259"/>
      <c r="C116" s="259"/>
      <c r="D116" s="259"/>
      <c r="E116" s="259"/>
      <c r="F116" s="260"/>
      <c r="G116" s="227">
        <f t="shared" ref="G116:L116" si="4">SUM(G114:G115)</f>
        <v>32</v>
      </c>
      <c r="H116" s="228">
        <f t="shared" si="4"/>
        <v>32</v>
      </c>
      <c r="I116" s="227">
        <f t="shared" si="4"/>
        <v>32</v>
      </c>
      <c r="J116" s="228">
        <f t="shared" si="4"/>
        <v>32</v>
      </c>
      <c r="K116" s="227">
        <f t="shared" si="4"/>
        <v>32</v>
      </c>
      <c r="L116" s="228">
        <f t="shared" si="4"/>
        <v>32</v>
      </c>
      <c r="M116" s="225"/>
      <c r="N116" s="229"/>
      <c r="O116" s="235">
        <f>SUM(G116:M116)</f>
        <v>192</v>
      </c>
      <c r="P116" s="298"/>
    </row>
    <row r="117" spans="1:19" ht="15" customHeight="1" x14ac:dyDescent="0.3">
      <c r="A117" s="251" t="s">
        <v>145</v>
      </c>
      <c r="B117" s="259"/>
      <c r="C117" s="259"/>
      <c r="D117" s="259"/>
      <c r="E117" s="259"/>
      <c r="F117" s="260"/>
      <c r="G117" s="229">
        <v>9</v>
      </c>
      <c r="H117" s="228">
        <v>9</v>
      </c>
      <c r="I117" s="227">
        <v>9</v>
      </c>
      <c r="J117" s="228">
        <v>9</v>
      </c>
      <c r="K117" s="227">
        <v>10</v>
      </c>
      <c r="L117" s="224">
        <v>11</v>
      </c>
      <c r="M117" s="225"/>
      <c r="N117" s="229"/>
      <c r="O117" s="297"/>
      <c r="P117" s="298"/>
    </row>
    <row r="118" spans="1:19" ht="17.25" customHeight="1" thickBot="1" x14ac:dyDescent="0.35">
      <c r="A118" s="237" t="s">
        <v>146</v>
      </c>
      <c r="B118" s="238"/>
      <c r="C118" s="238"/>
      <c r="D118" s="238"/>
      <c r="E118" s="238"/>
      <c r="F118" s="239"/>
      <c r="G118" s="266">
        <f>SUM(G116:H116)</f>
        <v>64</v>
      </c>
      <c r="H118" s="239"/>
      <c r="I118" s="266">
        <f>SUM(I116:J116)</f>
        <v>64</v>
      </c>
      <c r="J118" s="239"/>
      <c r="K118" s="266">
        <f>SUM(K116:L116)</f>
        <v>64</v>
      </c>
      <c r="L118" s="239"/>
      <c r="M118" s="230"/>
      <c r="N118" s="231"/>
      <c r="O118" s="300">
        <f>SUM(G118:M118)</f>
        <v>192</v>
      </c>
      <c r="P118" s="301"/>
    </row>
    <row r="119" spans="1:19" x14ac:dyDescent="0.3">
      <c r="A119" s="267" t="s">
        <v>147</v>
      </c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9"/>
    </row>
    <row r="120" spans="1:19" x14ac:dyDescent="0.3">
      <c r="A120" s="270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2"/>
    </row>
    <row r="121" spans="1:19" x14ac:dyDescent="0.3">
      <c r="A121" s="270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2"/>
    </row>
    <row r="122" spans="1:19" x14ac:dyDescent="0.3">
      <c r="A122" s="270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2"/>
    </row>
    <row r="123" spans="1:19" x14ac:dyDescent="0.3">
      <c r="A123" s="270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2"/>
    </row>
    <row r="124" spans="1:19" x14ac:dyDescent="0.3">
      <c r="A124" s="270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2"/>
    </row>
    <row r="125" spans="1:19" x14ac:dyDescent="0.3">
      <c r="A125" s="270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2"/>
      <c r="S125" s="232"/>
    </row>
    <row r="126" spans="1:19" x14ac:dyDescent="0.3">
      <c r="A126" s="270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2"/>
    </row>
    <row r="127" spans="1:19" ht="14.25" customHeight="1" thickBot="1" x14ac:dyDescent="0.35">
      <c r="A127" s="273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74"/>
    </row>
  </sheetData>
  <mergeCells count="90">
    <mergeCell ref="I118:J118"/>
    <mergeCell ref="L90:L93"/>
    <mergeCell ref="B17:B21"/>
    <mergeCell ref="D3:D5"/>
    <mergeCell ref="P17:P21"/>
    <mergeCell ref="G3:H3"/>
    <mergeCell ref="I3:J3"/>
    <mergeCell ref="O3:O5"/>
    <mergeCell ref="B56:B60"/>
    <mergeCell ref="G4:G5"/>
    <mergeCell ref="I4:I5"/>
    <mergeCell ref="L94:L107"/>
    <mergeCell ref="O24:O25"/>
    <mergeCell ref="O116:P116"/>
    <mergeCell ref="B108:B112"/>
    <mergeCell ref="P12:P16"/>
    <mergeCell ref="K69:K84"/>
    <mergeCell ref="B71:B75"/>
    <mergeCell ref="F3:F5"/>
    <mergeCell ref="B36:B39"/>
    <mergeCell ref="B100:B103"/>
    <mergeCell ref="B22:B25"/>
    <mergeCell ref="A114:E114"/>
    <mergeCell ref="A41:A68"/>
    <mergeCell ref="B7:B11"/>
    <mergeCell ref="A7:A40"/>
    <mergeCell ref="A1:P1"/>
    <mergeCell ref="B12:B16"/>
    <mergeCell ref="B92:B93"/>
    <mergeCell ref="B30:B35"/>
    <mergeCell ref="H4:H5"/>
    <mergeCell ref="A3:A5"/>
    <mergeCell ref="P69:P112"/>
    <mergeCell ref="P30:P35"/>
    <mergeCell ref="B81:B82"/>
    <mergeCell ref="K3:L3"/>
    <mergeCell ref="P7:P11"/>
    <mergeCell ref="P26:P29"/>
    <mergeCell ref="P41:P68"/>
    <mergeCell ref="A69:A112"/>
    <mergeCell ref="B46:B49"/>
    <mergeCell ref="O36:O39"/>
    <mergeCell ref="A119:P127"/>
    <mergeCell ref="M3:M5"/>
    <mergeCell ref="B90:B91"/>
    <mergeCell ref="O12:O16"/>
    <mergeCell ref="P3:P5"/>
    <mergeCell ref="O69:O112"/>
    <mergeCell ref="I41:I53"/>
    <mergeCell ref="B42:B45"/>
    <mergeCell ref="O17:O21"/>
    <mergeCell ref="O30:O35"/>
    <mergeCell ref="P36:P39"/>
    <mergeCell ref="B69:B70"/>
    <mergeCell ref="B3:B5"/>
    <mergeCell ref="O22:O23"/>
    <mergeCell ref="O117:P117"/>
    <mergeCell ref="B51:B53"/>
    <mergeCell ref="A115:E115"/>
    <mergeCell ref="K85:K89"/>
    <mergeCell ref="A2:D2"/>
    <mergeCell ref="B106:B107"/>
    <mergeCell ref="K118:L118"/>
    <mergeCell ref="K2:P2"/>
    <mergeCell ref="A116:F116"/>
    <mergeCell ref="C3:C5"/>
    <mergeCell ref="B66:B68"/>
    <mergeCell ref="B95:B99"/>
    <mergeCell ref="O118:P118"/>
    <mergeCell ref="G118:H118"/>
    <mergeCell ref="B83:B84"/>
    <mergeCell ref="A117:F117"/>
    <mergeCell ref="K4:K5"/>
    <mergeCell ref="N3:N5"/>
    <mergeCell ref="P22:P23"/>
    <mergeCell ref="A118:F118"/>
    <mergeCell ref="B61:B64"/>
    <mergeCell ref="O26:O29"/>
    <mergeCell ref="J4:J5"/>
    <mergeCell ref="L4:L5"/>
    <mergeCell ref="E3:E5"/>
    <mergeCell ref="L108:L112"/>
    <mergeCell ref="B76:B80"/>
    <mergeCell ref="B85:B89"/>
    <mergeCell ref="O7:O11"/>
    <mergeCell ref="O41:O68"/>
    <mergeCell ref="J54:J68"/>
    <mergeCell ref="P24:P25"/>
    <mergeCell ref="B104:B105"/>
    <mergeCell ref="B26:B29"/>
  </mergeCells>
  <phoneticPr fontId="1" type="noConversion"/>
  <conditionalFormatting sqref="E7:E22">
    <cfRule type="expression" dxfId="6" priority="1">
      <formula>ISTEXT(E7)</formula>
    </cfRule>
  </conditionalFormatting>
  <conditionalFormatting sqref="E24:E59">
    <cfRule type="expression" dxfId="5" priority="7">
      <formula>ISTEXT(E24)</formula>
    </cfRule>
  </conditionalFormatting>
  <conditionalFormatting sqref="E61:E74">
    <cfRule type="expression" dxfId="4" priority="6">
      <formula>ISTEXT(E61)</formula>
    </cfRule>
  </conditionalFormatting>
  <conditionalFormatting sqref="E76:E79">
    <cfRule type="expression" dxfId="3" priority="5">
      <formula>ISTEXT(E76)</formula>
    </cfRule>
  </conditionalFormatting>
  <conditionalFormatting sqref="E81:E88">
    <cfRule type="expression" dxfId="2" priority="4">
      <formula>ISTEXT(E81)</formula>
    </cfRule>
  </conditionalFormatting>
  <conditionalFormatting sqref="E90:E98">
    <cfRule type="expression" dxfId="1" priority="3">
      <formula>ISTEXT(E90)</formula>
    </cfRule>
  </conditionalFormatting>
  <conditionalFormatting sqref="E100:E111">
    <cfRule type="expression" dxfId="0" priority="2">
      <formula>ISTEXT(E100)</formula>
    </cfRule>
  </conditionalFormatting>
  <dataValidations count="5">
    <dataValidation type="list" allowBlank="1" showInputMessage="1" sqref="N7:N112" xr:uid="{00000000-0002-0000-0000-000000000000}">
      <formula1>과목개설유형</formula1>
    </dataValidation>
    <dataValidation type="list" allowBlank="1" showInputMessage="1" sqref="M7:M113 N113" xr:uid="{00000000-0002-0000-0000-000001000000}">
      <formula1>비고</formula1>
    </dataValidation>
    <dataValidation type="list" allowBlank="1" showInputMessage="1" showErrorMessage="1" sqref="C30:C40 C50:C53 C65:C68 C81:C89 C104:C113" xr:uid="{00000000-0002-0000-0000-000002000000}">
      <formula1>과목유형2</formula1>
    </dataValidation>
    <dataValidation type="list" allowBlank="1" showInputMessage="1" showErrorMessage="1" sqref="B7:B10 B12:B113" xr:uid="{00000000-0002-0000-0000-000003000000}">
      <formula1>교과군</formula1>
    </dataValidation>
    <dataValidation type="list" allowBlank="1" showInputMessage="1" showErrorMessage="1" sqref="C7:C29 C41:C49 C54:C64 C69:C80 C90:C103" xr:uid="{00000000-0002-0000-0000-000004000000}">
      <formula1>과목유형</formula1>
    </dataValidation>
  </dataValidations>
  <pageMargins left="0.98425196850393704" right="0.19685039370078741" top="0.19685039370078741" bottom="0.19685039370078741" header="0" footer="0"/>
  <pageSetup paperSize="12" scale="52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2026입학생</vt:lpstr>
      <vt:lpstr>'2026입학생'!Print_Area</vt:lpstr>
      <vt:lpstr>'2026입학생'!Print_Titles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김연희</cp:lastModifiedBy>
  <cp:lastPrinted>2026-01-27T08:24:03Z</cp:lastPrinted>
  <dcterms:created xsi:type="dcterms:W3CDTF">2024-04-19T11:26:34Z</dcterms:created>
  <dcterms:modified xsi:type="dcterms:W3CDTF">2026-08-12T15:53:29Z</dcterms:modified>
</cp:coreProperties>
</file>