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10224" tabRatio="600" firstSheet="0" autoFilterDateGrouping="1"/>
  </bookViews>
  <sheets>
    <sheet xmlns:r="http://schemas.openxmlformats.org/officeDocument/2006/relationships" name="2026입학생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15">
    <font>
      <name val="돋움"/>
      <charset val="129"/>
      <family val="3"/>
      <sz val="11"/>
    </font>
    <font>
      <name val="돋움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sz val="18"/>
      <scheme val="minor"/>
    </font>
    <font>
      <name val="맑은 고딕"/>
      <family val="3"/>
      <sz val="11"/>
      <scheme val="minor"/>
    </font>
    <font>
      <name val="맑은 고딕"/>
      <charset val="129"/>
      <family val="3"/>
      <color rgb="FF000000"/>
      <sz val="11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i val="1"/>
      <color rgb="FFFF0000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ajor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14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8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3499862666707358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2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25" pivotButton="0" quotePrefix="0" xfId="0"/>
    <xf numFmtId="49" fontId="3" fillId="0" borderId="8" applyAlignment="1" pivotButton="0" quotePrefix="0" xfId="0">
      <alignment horizontal="center"/>
    </xf>
    <xf numFmtId="49" fontId="0" fillId="0" borderId="8" applyAlignment="1" pivotButton="0" quotePrefix="0" xfId="0">
      <alignment horizontal="center"/>
    </xf>
    <xf numFmtId="49" fontId="8" fillId="0" borderId="8" applyAlignment="1" pivotButton="0" quotePrefix="0" xfId="0">
      <alignment horizontal="center" vertical="center"/>
    </xf>
    <xf numFmtId="0" fontId="3" fillId="0" borderId="8" pivotButton="0" quotePrefix="0" xfId="0"/>
    <xf numFmtId="49" fontId="3" fillId="0" borderId="13" applyAlignment="1" pivotButton="0" quotePrefix="0" xfId="0">
      <alignment horizontal="center"/>
    </xf>
    <xf numFmtId="49" fontId="3" fillId="0" borderId="85" applyAlignment="1" pivotButton="0" quotePrefix="0" xfId="0">
      <alignment horizontal="center"/>
    </xf>
    <xf numFmtId="49" fontId="3" fillId="0" borderId="17" applyAlignment="1" pivotButton="0" quotePrefix="0" xfId="0">
      <alignment horizontal="center"/>
    </xf>
    <xf numFmtId="49" fontId="3" fillId="0" borderId="13" applyAlignment="1" pivotButton="0" quotePrefix="0" xfId="0">
      <alignment horizontal="center" vertical="center"/>
    </xf>
    <xf numFmtId="49" fontId="8" fillId="0" borderId="13" applyAlignment="1" pivotButton="0" quotePrefix="0" xfId="0">
      <alignment horizontal="center" vertical="center" wrapText="1"/>
    </xf>
    <xf numFmtId="0" fontId="7" fillId="0" borderId="85" applyAlignment="1" pivotButton="0" quotePrefix="0" xfId="0">
      <alignment horizontal="center" vertical="center"/>
    </xf>
    <xf numFmtId="49" fontId="8" fillId="0" borderId="17" applyAlignment="1" pivotButton="0" quotePrefix="0" xfId="0">
      <alignment horizontal="center" vertical="center" wrapText="1"/>
    </xf>
    <xf numFmtId="49" fontId="3" fillId="0" borderId="17" applyAlignment="1" pivotButton="0" quotePrefix="0" xfId="0">
      <alignment horizontal="center" vertical="center"/>
    </xf>
    <xf numFmtId="49" fontId="3" fillId="0" borderId="13" applyAlignment="1" pivotButton="0" quotePrefix="0" xfId="0">
      <alignment horizontal="center" vertical="center" wrapText="1"/>
    </xf>
    <xf numFmtId="49" fontId="0" fillId="0" borderId="85" applyAlignment="1" pivotButton="0" quotePrefix="0" xfId="0">
      <alignment horizontal="center"/>
    </xf>
    <xf numFmtId="0" fontId="11" fillId="0" borderId="51" applyAlignment="1" pivotButton="0" quotePrefix="0" xfId="0">
      <alignment horizontal="center" vertical="center"/>
    </xf>
    <xf numFmtId="0" fontId="2" fillId="0" borderId="77" applyAlignment="1" pivotButton="0" quotePrefix="0" xfId="0">
      <alignment horizontal="center" vertical="center"/>
    </xf>
    <xf numFmtId="0" fontId="2" fillId="0" borderId="68" applyAlignment="1" pivotButton="0" quotePrefix="0" xfId="0">
      <alignment horizontal="center" vertical="center"/>
    </xf>
    <xf numFmtId="0" fontId="2" fillId="0" borderId="69" applyAlignment="1" pivotButton="0" quotePrefix="0" xfId="0">
      <alignment horizontal="center" vertical="center"/>
    </xf>
    <xf numFmtId="0" fontId="2" fillId="0" borderId="62" applyAlignment="1" pivotButton="0" quotePrefix="0" xfId="0">
      <alignment horizontal="center" vertical="center"/>
    </xf>
    <xf numFmtId="0" fontId="2" fillId="0" borderId="36" applyAlignment="1" pivotButton="0" quotePrefix="0" xfId="0">
      <alignment horizontal="center" vertical="center"/>
    </xf>
    <xf numFmtId="0" fontId="2" fillId="0" borderId="38" applyAlignment="1" pivotButton="0" quotePrefix="0" xfId="0">
      <alignment horizontal="center" vertical="center"/>
    </xf>
    <xf numFmtId="0" fontId="2" fillId="0" borderId="37" applyAlignment="1" pivotButton="0" quotePrefix="0" xfId="0">
      <alignment horizontal="center" vertical="center"/>
    </xf>
    <xf numFmtId="0" fontId="2" fillId="0" borderId="57" applyAlignment="1" pivotButton="0" quotePrefix="0" xfId="0">
      <alignment horizontal="center" vertical="center"/>
    </xf>
    <xf numFmtId="0" fontId="2" fillId="0" borderId="42" applyAlignment="1" pivotButton="0" quotePrefix="0" xfId="0">
      <alignment horizontal="center" vertical="center"/>
    </xf>
    <xf numFmtId="0" fontId="2" fillId="0" borderId="41" applyAlignment="1" pivotButton="0" quotePrefix="0" xfId="0">
      <alignment horizontal="center" vertical="center"/>
    </xf>
    <xf numFmtId="0" fontId="2" fillId="0" borderId="60" applyAlignment="1" pivotButton="0" quotePrefix="0" xfId="0">
      <alignment horizontal="center" vertical="center"/>
    </xf>
    <xf numFmtId="0" fontId="2" fillId="0" borderId="40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/>
    </xf>
    <xf numFmtId="0" fontId="2" fillId="0" borderId="33" applyAlignment="1" pivotButton="0" quotePrefix="0" xfId="0">
      <alignment horizontal="center" vertical="center"/>
    </xf>
    <xf numFmtId="0" fontId="2" fillId="0" borderId="32" applyAlignment="1" pivotButton="0" quotePrefix="0" xfId="0">
      <alignment horizontal="center" vertical="center"/>
    </xf>
    <xf numFmtId="0" fontId="2" fillId="0" borderId="55" applyAlignment="1" pivotButton="0" quotePrefix="0" xfId="0">
      <alignment horizontal="center" vertical="center"/>
    </xf>
    <xf numFmtId="0" fontId="2" fillId="0" borderId="54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 vertical="center"/>
    </xf>
    <xf numFmtId="0" fontId="2" fillId="0" borderId="50" applyAlignment="1" pivotButton="0" quotePrefix="0" xfId="0">
      <alignment horizontal="center" vertical="center"/>
    </xf>
    <xf numFmtId="0" fontId="2" fillId="0" borderId="47" applyAlignment="1" pivotButton="0" quotePrefix="0" xfId="0">
      <alignment horizontal="center" vertical="center"/>
    </xf>
    <xf numFmtId="0" fontId="2" fillId="0" borderId="46" applyAlignment="1" pivotButton="0" quotePrefix="0" xfId="0">
      <alignment horizontal="center" vertical="center"/>
    </xf>
    <xf numFmtId="0" fontId="2" fillId="0" borderId="53" applyAlignment="1" pivotButton="0" quotePrefix="0" xfId="0">
      <alignment horizontal="center" vertical="center"/>
    </xf>
    <xf numFmtId="0" fontId="2" fillId="0" borderId="45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2" fillId="0" borderId="24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 wrapText="1"/>
    </xf>
    <xf numFmtId="0" fontId="2" fillId="0" borderId="43" applyAlignment="1" pivotButton="0" quotePrefix="0" xfId="0">
      <alignment horizontal="center" vertical="center"/>
    </xf>
    <xf numFmtId="0" fontId="2" fillId="0" borderId="48" applyAlignment="1" pivotButton="0" quotePrefix="0" xfId="0">
      <alignment horizontal="center" vertical="center"/>
    </xf>
    <xf numFmtId="0" fontId="2" fillId="0" borderId="61" applyAlignment="1" pivotButton="0" quotePrefix="0" xfId="0">
      <alignment horizontal="center" vertical="center"/>
    </xf>
    <xf numFmtId="0" fontId="2" fillId="0" borderId="73" applyAlignment="1" pivotButton="0" quotePrefix="0" xfId="0">
      <alignment horizontal="center" vertical="center"/>
    </xf>
    <xf numFmtId="0" fontId="2" fillId="0" borderId="52" applyAlignment="1" pivotButton="0" quotePrefix="0" xfId="0">
      <alignment horizontal="center" vertical="center"/>
    </xf>
    <xf numFmtId="0" fontId="2" fillId="0" borderId="29" applyAlignment="1" pivotButton="0" quotePrefix="0" xfId="0">
      <alignment horizontal="center" vertical="center"/>
    </xf>
    <xf numFmtId="0" fontId="2" fillId="0" borderId="67" applyAlignment="1" pivotButton="0" quotePrefix="0" xfId="0">
      <alignment horizontal="center" vertical="center"/>
    </xf>
    <xf numFmtId="0" fontId="2" fillId="0" borderId="66" applyAlignment="1" pivotButton="0" quotePrefix="0" xfId="0">
      <alignment horizontal="center" vertical="center"/>
    </xf>
    <xf numFmtId="164" fontId="2" fillId="0" borderId="40" applyAlignment="1" pivotButton="0" quotePrefix="0" xfId="0">
      <alignment horizontal="center" vertical="center" wrapText="1"/>
    </xf>
    <xf numFmtId="164" fontId="2" fillId="0" borderId="36" applyAlignment="1" pivotButton="0" quotePrefix="0" xfId="0">
      <alignment horizontal="center" vertical="center" wrapText="1"/>
    </xf>
    <xf numFmtId="164" fontId="2" fillId="0" borderId="44" applyAlignment="1" pivotButton="0" quotePrefix="0" xfId="0">
      <alignment horizontal="center" vertical="center" wrapText="1"/>
    </xf>
    <xf numFmtId="164" fontId="2" fillId="0" borderId="43" applyAlignment="1" pivotButton="0" quotePrefix="0" xfId="0">
      <alignment horizontal="center" vertical="center" wrapText="1"/>
    </xf>
    <xf numFmtId="0" fontId="2" fillId="0" borderId="47" applyAlignment="1" pivotButton="0" quotePrefix="1" xfId="0">
      <alignment horizontal="center" vertical="center"/>
    </xf>
    <xf numFmtId="0" fontId="2" fillId="2" borderId="60" applyAlignment="1" pivotButton="0" quotePrefix="0" xfId="0">
      <alignment horizontal="center" vertical="center"/>
    </xf>
    <xf numFmtId="0" fontId="2" fillId="2" borderId="59" applyAlignment="1" pivotButton="0" quotePrefix="0" xfId="0">
      <alignment horizontal="center" vertical="center"/>
    </xf>
    <xf numFmtId="0" fontId="2" fillId="0" borderId="37" applyAlignment="1" pivotButton="0" quotePrefix="1" xfId="0">
      <alignment horizontal="center" vertical="center"/>
    </xf>
    <xf numFmtId="0" fontId="2" fillId="2" borderId="57" applyAlignment="1" pivotButton="0" quotePrefix="0" xfId="0">
      <alignment horizontal="center" vertical="center"/>
    </xf>
    <xf numFmtId="0" fontId="2" fillId="2" borderId="56" applyAlignment="1" pivotButton="0" quotePrefix="0" xfId="0">
      <alignment horizontal="center" vertical="center"/>
    </xf>
    <xf numFmtId="0" fontId="4" fillId="2" borderId="57" applyAlignment="1" pivotButton="0" quotePrefix="0" xfId="0">
      <alignment horizontal="center" vertical="center"/>
    </xf>
    <xf numFmtId="0" fontId="4" fillId="2" borderId="56" applyAlignment="1" pivotButton="0" quotePrefix="0" xfId="0">
      <alignment horizontal="center" vertical="center"/>
    </xf>
    <xf numFmtId="0" fontId="2" fillId="0" borderId="32" applyAlignment="1" pivotButton="0" quotePrefix="1" xfId="0">
      <alignment horizontal="center" vertical="center"/>
    </xf>
    <xf numFmtId="0" fontId="2" fillId="2" borderId="55" applyAlignment="1" pivotButton="0" quotePrefix="0" xfId="0">
      <alignment horizontal="center" vertical="center"/>
    </xf>
    <xf numFmtId="0" fontId="2" fillId="2" borderId="54" applyAlignment="1" pivotButton="0" quotePrefix="0" xfId="0">
      <alignment horizontal="center" vertical="center"/>
    </xf>
    <xf numFmtId="0" fontId="2" fillId="0" borderId="45" applyAlignment="1" pivotButton="0" quotePrefix="1" xfId="0">
      <alignment horizontal="center" vertical="center"/>
    </xf>
    <xf numFmtId="0" fontId="2" fillId="2" borderId="53" applyAlignment="1" pivotButton="0" quotePrefix="0" xfId="0">
      <alignment horizontal="center" vertical="center"/>
    </xf>
    <xf numFmtId="0" fontId="2" fillId="2" borderId="52" applyAlignment="1" pivotButton="0" quotePrefix="0" xfId="0">
      <alignment horizontal="center" vertical="center"/>
    </xf>
    <xf numFmtId="0" fontId="2" fillId="0" borderId="41" applyAlignment="1" pivotButton="0" quotePrefix="1" xfId="0">
      <alignment horizontal="center" vertical="center"/>
    </xf>
    <xf numFmtId="0" fontId="2" fillId="0" borderId="38" applyAlignment="1" pivotButton="0" quotePrefix="1" xfId="0">
      <alignment horizontal="center" vertical="center"/>
    </xf>
    <xf numFmtId="0" fontId="2" fillId="0" borderId="46" applyAlignment="1" pivotButton="0" quotePrefix="1" xfId="0">
      <alignment horizontal="center" vertical="center"/>
    </xf>
    <xf numFmtId="0" fontId="2" fillId="0" borderId="48" applyAlignment="1" pivotButton="0" quotePrefix="1" xfId="0">
      <alignment horizontal="center" vertical="center"/>
    </xf>
    <xf numFmtId="0" fontId="2" fillId="0" borderId="46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0" fontId="2" fillId="0" borderId="52" applyAlignment="1" pivotButton="0" quotePrefix="0" xfId="0">
      <alignment horizontal="center"/>
    </xf>
    <xf numFmtId="0" fontId="2" fillId="0" borderId="61" applyAlignment="1" pivotButton="0" quotePrefix="0" xfId="0">
      <alignment horizontal="center"/>
    </xf>
    <xf numFmtId="0" fontId="2" fillId="0" borderId="56" applyAlignment="1" pivotButton="0" quotePrefix="0" xfId="0">
      <alignment horizontal="center"/>
    </xf>
    <xf numFmtId="0" fontId="2" fillId="0" borderId="58" applyAlignment="1" pivotButton="0" quotePrefix="0" xfId="0">
      <alignment horizontal="center" vertical="center"/>
    </xf>
    <xf numFmtId="0" fontId="2" fillId="0" borderId="85" applyAlignment="1" pivotButton="0" quotePrefix="0" xfId="0">
      <alignment horizontal="center" vertical="center"/>
    </xf>
    <xf numFmtId="0" fontId="2" fillId="0" borderId="89" applyAlignment="1" pivotButton="0" quotePrefix="0" xfId="0">
      <alignment horizontal="center" vertical="center"/>
    </xf>
    <xf numFmtId="0" fontId="2" fillId="0" borderId="90" applyAlignment="1" pivotButton="0" quotePrefix="0" xfId="0">
      <alignment horizontal="center" vertical="center"/>
    </xf>
    <xf numFmtId="0" fontId="2" fillId="0" borderId="51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/>
    </xf>
    <xf numFmtId="0" fontId="2" fillId="0" borderId="72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27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 vertical="center" shrinkToFit="1"/>
    </xf>
    <xf numFmtId="0" fontId="2" fillId="0" borderId="71" applyAlignment="1" pivotButton="0" quotePrefix="0" xfId="0">
      <alignment horizontal="center" vertical="center" wrapText="1"/>
    </xf>
    <xf numFmtId="0" fontId="2" fillId="0" borderId="23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  <xf numFmtId="0" fontId="2" fillId="0" borderId="24" applyAlignment="1" pivotButton="0" quotePrefix="0" xfId="0">
      <alignment horizontal="center" vertical="center"/>
    </xf>
    <xf numFmtId="0" fontId="2" fillId="0" borderId="30" applyAlignment="1" pivotButton="0" quotePrefix="0" xfId="0">
      <alignment horizontal="center" vertical="center"/>
    </xf>
    <xf numFmtId="0" fontId="2" fillId="0" borderId="49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12" fillId="0" borderId="77" applyAlignment="1" pivotButton="0" quotePrefix="0" xfId="0">
      <alignment horizontal="center" vertical="center"/>
    </xf>
    <xf numFmtId="0" fontId="12" fillId="0" borderId="68" applyAlignment="1" pivotButton="0" quotePrefix="0" xfId="0">
      <alignment horizontal="center" vertical="center"/>
    </xf>
    <xf numFmtId="0" fontId="12" fillId="0" borderId="76" applyAlignment="1" pivotButton="0" quotePrefix="0" xfId="0">
      <alignment horizontal="center" vertical="center"/>
    </xf>
    <xf numFmtId="0" fontId="12" fillId="0" borderId="69" applyAlignment="1" pivotButton="0" quotePrefix="0" xfId="0">
      <alignment horizontal="center" vertical="center"/>
    </xf>
    <xf numFmtId="0" fontId="12" fillId="0" borderId="62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/>
    </xf>
    <xf numFmtId="0" fontId="12" fillId="0" borderId="24" applyAlignment="1" pivotButton="0" quotePrefix="0" xfId="0">
      <alignment horizontal="center" vertical="center"/>
    </xf>
    <xf numFmtId="0" fontId="12" fillId="0" borderId="23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0" fontId="12" fillId="0" borderId="43" applyAlignment="1" pivotButton="0" quotePrefix="0" xfId="0">
      <alignment horizontal="center" vertical="center"/>
    </xf>
    <xf numFmtId="0" fontId="12" fillId="0" borderId="34" applyAlignment="1" pivotButton="0" quotePrefix="0" xfId="0">
      <alignment horizontal="center" vertical="center"/>
    </xf>
    <xf numFmtId="0" fontId="12" fillId="0" borderId="33" applyAlignment="1" pivotButton="0" quotePrefix="0" xfId="0">
      <alignment horizontal="center" vertical="center"/>
    </xf>
    <xf numFmtId="0" fontId="12" fillId="0" borderId="32" applyAlignment="1" pivotButton="0" quotePrefix="0" xfId="0">
      <alignment horizontal="center" vertical="center"/>
    </xf>
    <xf numFmtId="0" fontId="12" fillId="0" borderId="55" applyAlignment="1" pivotButton="0" quotePrefix="0" xfId="0">
      <alignment horizontal="center" vertical="center"/>
    </xf>
    <xf numFmtId="0" fontId="12" fillId="0" borderId="54" applyAlignment="1" pivotButton="0" quotePrefix="0" xfId="0">
      <alignment horizontal="center" vertical="center"/>
    </xf>
    <xf numFmtId="0" fontId="12" fillId="0" borderId="36" applyAlignment="1" pivotButton="0" quotePrefix="0" xfId="0">
      <alignment horizontal="center" vertical="center"/>
    </xf>
    <xf numFmtId="0" fontId="12" fillId="0" borderId="48" applyAlignment="1" pivotButton="0" quotePrefix="0" xfId="0">
      <alignment horizontal="center" vertical="center"/>
    </xf>
    <xf numFmtId="0" fontId="12" fillId="0" borderId="47" applyAlignment="1" pivotButton="0" quotePrefix="0" xfId="0">
      <alignment horizontal="center" vertical="center"/>
    </xf>
    <xf numFmtId="0" fontId="12" fillId="0" borderId="50" applyAlignment="1" pivotButton="0" quotePrefix="0" xfId="0">
      <alignment horizontal="center" vertical="center"/>
    </xf>
    <xf numFmtId="0" fontId="12" fillId="0" borderId="61" applyAlignment="1" pivotButton="0" quotePrefix="0" xfId="0">
      <alignment horizontal="center" vertical="center"/>
    </xf>
    <xf numFmtId="0" fontId="12" fillId="0" borderId="40" applyAlignment="1" pivotButton="0" quotePrefix="0" xfId="0">
      <alignment horizontal="center" vertical="center"/>
    </xf>
    <xf numFmtId="0" fontId="12" fillId="0" borderId="44" applyAlignment="1" pivotButton="0" quotePrefix="0" xfId="0">
      <alignment horizontal="center" vertical="center"/>
    </xf>
    <xf numFmtId="0" fontId="12" fillId="0" borderId="46" applyAlignment="1" pivotButton="0" quotePrefix="0" xfId="0">
      <alignment horizontal="center" vertical="center"/>
    </xf>
    <xf numFmtId="0" fontId="12" fillId="0" borderId="45" applyAlignment="1" pivotButton="0" quotePrefix="0" xfId="0">
      <alignment horizontal="center" vertical="center"/>
    </xf>
    <xf numFmtId="0" fontId="12" fillId="0" borderId="53" applyAlignment="1" pivotButton="0" quotePrefix="0" xfId="0">
      <alignment horizontal="center" vertical="center"/>
    </xf>
    <xf numFmtId="0" fontId="12" fillId="0" borderId="52" applyAlignment="1" pivotButton="0" quotePrefix="0" xfId="0">
      <alignment horizontal="center" vertical="center"/>
    </xf>
    <xf numFmtId="0" fontId="12" fillId="0" borderId="53" applyAlignment="1" pivotButton="0" quotePrefix="0" xfId="0">
      <alignment horizontal="center" vertical="center" wrapText="1"/>
    </xf>
    <xf numFmtId="0" fontId="12" fillId="0" borderId="24" applyAlignment="1" pivotButton="0" quotePrefix="1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2" fillId="0" borderId="49" applyAlignment="1" pivotButton="0" quotePrefix="0" xfId="0">
      <alignment horizontal="center" vertical="center"/>
    </xf>
    <xf numFmtId="0" fontId="12" fillId="0" borderId="60" applyAlignment="1" pivotButton="0" quotePrefix="0" xfId="0">
      <alignment horizontal="center" vertical="center"/>
    </xf>
    <xf numFmtId="0" fontId="12" fillId="0" borderId="41" applyAlignment="1" pivotButton="0" quotePrefix="0" xfId="0">
      <alignment horizontal="center" vertical="center"/>
    </xf>
    <xf numFmtId="0" fontId="12" fillId="0" borderId="60" applyAlignment="1" pivotButton="0" quotePrefix="1" xfId="0">
      <alignment horizontal="center" vertical="center"/>
    </xf>
    <xf numFmtId="0" fontId="12" fillId="0" borderId="59" applyAlignment="1" pivotButton="0" quotePrefix="1" xfId="0">
      <alignment horizontal="center" vertical="center"/>
    </xf>
    <xf numFmtId="0" fontId="12" fillId="0" borderId="21" applyAlignment="1" pivotButton="0" quotePrefix="1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12" fillId="0" borderId="43" applyAlignment="1" pivotButton="0" quotePrefix="1" xfId="0">
      <alignment horizontal="center" vertical="center"/>
    </xf>
    <xf numFmtId="0" fontId="12" fillId="0" borderId="49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/>
    </xf>
    <xf numFmtId="0" fontId="12" fillId="0" borderId="8" applyAlignment="1" pivotButton="0" quotePrefix="1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2" fillId="0" borderId="11" applyAlignment="1" pivotButton="0" quotePrefix="0" xfId="0">
      <alignment horizontal="center" vertical="center"/>
    </xf>
    <xf numFmtId="0" fontId="12" fillId="0" borderId="10" applyAlignment="1" pivotButton="0" quotePrefix="1" xfId="0">
      <alignment horizontal="center" vertical="center"/>
    </xf>
    <xf numFmtId="0" fontId="12" fillId="0" borderId="9" applyAlignment="1" pivotButton="0" quotePrefix="1" xfId="0">
      <alignment horizontal="center" vertical="center"/>
    </xf>
    <xf numFmtId="164" fontId="2" fillId="0" borderId="8" applyAlignment="1" pivotButton="0" quotePrefix="0" xfId="0">
      <alignment horizontal="center" vertical="center" wrapText="1"/>
    </xf>
    <xf numFmtId="0" fontId="11" fillId="2" borderId="64" applyAlignment="1" pivotButton="0" quotePrefix="0" xfId="0">
      <alignment vertical="center" wrapText="1"/>
    </xf>
    <xf numFmtId="164" fontId="2" fillId="0" borderId="21" applyAlignment="1" pivotButton="0" quotePrefix="0" xfId="0">
      <alignment horizontal="center" vertical="center" wrapText="1"/>
    </xf>
    <xf numFmtId="0" fontId="11" fillId="2" borderId="10" applyAlignment="1" pivotButton="0" quotePrefix="0" xfId="0">
      <alignment vertical="center" wrapText="1"/>
    </xf>
    <xf numFmtId="0" fontId="2" fillId="0" borderId="24" applyAlignment="1" pivotButton="0" quotePrefix="0" xfId="0">
      <alignment vertical="center"/>
    </xf>
    <xf numFmtId="0" fontId="2" fillId="0" borderId="11" applyAlignment="1" pivotButton="0" quotePrefix="1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37" applyAlignment="1" pivotButton="0" quotePrefix="0" xfId="0">
      <alignment vertical="center"/>
    </xf>
    <xf numFmtId="0" fontId="2" fillId="0" borderId="59" applyAlignment="1" pivotButton="0" quotePrefix="0" xfId="0">
      <alignment horizontal="center"/>
    </xf>
    <xf numFmtId="164" fontId="2" fillId="0" borderId="27" applyAlignment="1" pivotButton="0" quotePrefix="0" xfId="0">
      <alignment horizontal="center" vertical="center" wrapText="1"/>
    </xf>
    <xf numFmtId="0" fontId="2" fillId="0" borderId="33" applyAlignment="1" pivotButton="0" quotePrefix="1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 vertical="center"/>
    </xf>
    <xf numFmtId="0" fontId="2" fillId="0" borderId="78" applyAlignment="1" pivotButton="0" quotePrefix="0" xfId="0">
      <alignment horizontal="center" vertical="center"/>
    </xf>
    <xf numFmtId="0" fontId="2" fillId="0" borderId="51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2" borderId="76" applyAlignment="1" pivotButton="0" quotePrefix="0" xfId="0">
      <alignment horizontal="center" vertical="center"/>
    </xf>
    <xf numFmtId="0" fontId="2" fillId="0" borderId="53" applyAlignment="1" pivotButton="0" quotePrefix="0" xfId="0">
      <alignment horizontal="center"/>
    </xf>
    <xf numFmtId="0" fontId="2" fillId="0" borderId="50" applyAlignment="1" pivotButton="0" quotePrefix="0" xfId="0">
      <alignment horizontal="center"/>
    </xf>
    <xf numFmtId="0" fontId="2" fillId="0" borderId="60" applyAlignment="1" pivotButton="0" quotePrefix="0" xfId="0">
      <alignment horizontal="center"/>
    </xf>
    <xf numFmtId="0" fontId="2" fillId="0" borderId="57" applyAlignment="1" pivotButton="0" quotePrefix="0" xfId="0">
      <alignment horizontal="center"/>
    </xf>
    <xf numFmtId="0" fontId="2" fillId="0" borderId="79" applyAlignment="1" pivotButton="0" quotePrefix="0" xfId="0">
      <alignment horizontal="center" vertical="center"/>
    </xf>
    <xf numFmtId="0" fontId="2" fillId="0" borderId="102" applyAlignment="1" pivotButton="0" quotePrefix="0" xfId="0">
      <alignment horizontal="center" vertical="center"/>
    </xf>
    <xf numFmtId="0" fontId="2" fillId="0" borderId="63" applyAlignment="1" pivotButton="0" quotePrefix="0" xfId="0">
      <alignment horizontal="center" vertical="center"/>
    </xf>
    <xf numFmtId="0" fontId="2" fillId="0" borderId="76" applyAlignment="1" pivotButton="0" quotePrefix="0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103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 vertical="center" shrinkToFit="1"/>
    </xf>
    <xf numFmtId="0" fontId="12" fillId="0" borderId="24" applyAlignment="1" pivotButton="0" quotePrefix="0" xfId="0">
      <alignment horizontal="center" vertical="center" wrapText="1"/>
    </xf>
    <xf numFmtId="0" fontId="12" fillId="0" borderId="89" applyAlignment="1" pivotButton="0" quotePrefix="0" xfId="0">
      <alignment horizontal="center" vertical="center" wrapText="1"/>
    </xf>
    <xf numFmtId="0" fontId="12" fillId="0" borderId="21" applyAlignment="1" pivotButton="0" quotePrefix="0" xfId="0">
      <alignment horizontal="center" vertical="center" wrapText="1"/>
    </xf>
    <xf numFmtId="0" fontId="9" fillId="3" borderId="83" applyAlignment="1" pivotButton="0" quotePrefix="0" xfId="0">
      <alignment horizontal="center" vertical="center"/>
    </xf>
    <xf numFmtId="0" fontId="9" fillId="3" borderId="26" applyAlignment="1" pivotButton="0" quotePrefix="0" xfId="0">
      <alignment horizontal="center" vertical="center"/>
    </xf>
    <xf numFmtId="0" fontId="9" fillId="3" borderId="11" applyAlignment="1" pivotButton="0" quotePrefix="0" xfId="0">
      <alignment horizontal="center" vertical="center"/>
    </xf>
    <xf numFmtId="0" fontId="9" fillId="3" borderId="86" applyAlignment="1" pivotButton="0" quotePrefix="0" xfId="0">
      <alignment horizontal="center" vertical="center"/>
    </xf>
    <xf numFmtId="0" fontId="10" fillId="3" borderId="78" applyAlignment="1" pivotButton="0" quotePrefix="0" xfId="0">
      <alignment horizontal="center" vertical="center"/>
    </xf>
    <xf numFmtId="0" fontId="10" fillId="3" borderId="21" applyAlignment="1" pivotButton="0" quotePrefix="0" xfId="0">
      <alignment horizontal="center" vertical="center"/>
    </xf>
    <xf numFmtId="0" fontId="12" fillId="0" borderId="78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2" fillId="0" borderId="27" applyAlignment="1" pivotButton="0" quotePrefix="0" xfId="0">
      <alignment horizontal="center" vertical="center"/>
    </xf>
    <xf numFmtId="0" fontId="9" fillId="3" borderId="9" applyAlignment="1" pivotButton="0" quotePrefix="0" xfId="0">
      <alignment horizontal="center" vertical="center"/>
    </xf>
    <xf numFmtId="0" fontId="9" fillId="3" borderId="16" applyAlignment="1" pivotButton="0" quotePrefix="0" xfId="0">
      <alignment horizontal="center" vertical="center"/>
    </xf>
    <xf numFmtId="0" fontId="9" fillId="3" borderId="12" applyAlignment="1" pivotButton="0" quotePrefix="0" xfId="0">
      <alignment horizontal="center" vertical="center"/>
    </xf>
    <xf numFmtId="0" fontId="9" fillId="3" borderId="74" applyAlignment="1" pivotButton="0" quotePrefix="0" xfId="0">
      <alignment horizontal="center" vertical="center"/>
    </xf>
    <xf numFmtId="0" fontId="2" fillId="0" borderId="65" applyAlignment="1" pivotButton="0" quotePrefix="0" xfId="0">
      <alignment horizontal="center" vertical="center" wrapText="1"/>
    </xf>
    <xf numFmtId="0" fontId="2" fillId="0" borderId="39" applyAlignment="1" pivotButton="0" quotePrefix="0" xfId="0">
      <alignment horizontal="center" vertical="center" wrapText="1"/>
    </xf>
    <xf numFmtId="0" fontId="2" fillId="0" borderId="35" applyAlignment="1" pivotButton="0" quotePrefix="0" xfId="0">
      <alignment horizontal="center" vertical="center" wrapText="1"/>
    </xf>
    <xf numFmtId="0" fontId="12" fillId="0" borderId="49" applyAlignment="1" pivotButton="0" quotePrefix="0" xfId="0">
      <alignment horizontal="center" vertical="center" wrapText="1"/>
    </xf>
    <xf numFmtId="0" fontId="12" fillId="0" borderId="21" applyAlignment="1" pivotButton="0" quotePrefix="0" xfId="0">
      <alignment horizontal="center" vertical="center" wrapText="1"/>
    </xf>
    <xf numFmtId="0" fontId="2" fillId="0" borderId="49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2" fillId="0" borderId="27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/>
    </xf>
    <xf numFmtId="0" fontId="9" fillId="3" borderId="84" applyAlignment="1" pivotButton="0" quotePrefix="0" xfId="0">
      <alignment horizontal="center" vertical="center" wrapText="1"/>
    </xf>
    <xf numFmtId="0" fontId="9" fillId="3" borderId="81" applyAlignment="1" pivotButton="0" quotePrefix="0" xfId="0">
      <alignment horizontal="center" vertical="center"/>
    </xf>
    <xf numFmtId="0" fontId="9" fillId="3" borderId="88" applyAlignment="1" pivotButton="0" quotePrefix="0" xfId="0">
      <alignment horizontal="center" vertical="center"/>
    </xf>
    <xf numFmtId="0" fontId="9" fillId="3" borderId="8" applyAlignment="1" pivotButton="0" quotePrefix="0" xfId="0">
      <alignment horizontal="center" vertical="center"/>
    </xf>
    <xf numFmtId="0" fontId="9" fillId="3" borderId="49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/>
    </xf>
    <xf numFmtId="0" fontId="10" fillId="3" borderId="78" applyAlignment="1" pivotButton="0" quotePrefix="0" xfId="0">
      <alignment horizontal="center" vertical="center" wrapText="1"/>
    </xf>
    <xf numFmtId="0" fontId="10" fillId="3" borderId="21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center" vertical="center" wrapText="1"/>
    </xf>
    <xf numFmtId="0" fontId="9" fillId="3" borderId="82" applyAlignment="1" pivotButton="0" quotePrefix="0" xfId="0">
      <alignment horizontal="center" vertical="center" wrapText="1"/>
    </xf>
    <xf numFmtId="0" fontId="9" fillId="3" borderId="20" applyAlignment="1" pivotButton="0" quotePrefix="0" xfId="0">
      <alignment horizontal="center" vertical="center" wrapText="1"/>
    </xf>
    <xf numFmtId="0" fontId="9" fillId="3" borderId="78" applyAlignment="1" pivotButton="0" quotePrefix="0" xfId="0">
      <alignment horizontal="center" vertical="center" wrapText="1"/>
    </xf>
    <xf numFmtId="0" fontId="9" fillId="3" borderId="21" applyAlignment="1" pivotButton="0" quotePrefix="0" xfId="0">
      <alignment horizontal="center" vertical="center" wrapText="1"/>
    </xf>
    <xf numFmtId="0" fontId="9" fillId="3" borderId="80" applyAlignment="1" pivotButton="0" quotePrefix="0" xfId="0">
      <alignment horizontal="center" vertical="center" wrapText="1"/>
    </xf>
    <xf numFmtId="0" fontId="9" fillId="3" borderId="80" applyAlignment="1" pivotButton="0" quotePrefix="0" xfId="0">
      <alignment horizontal="center" vertical="center"/>
    </xf>
    <xf numFmtId="0" fontId="9" fillId="3" borderId="75" applyAlignment="1" pivotButton="0" quotePrefix="0" xfId="0">
      <alignment horizontal="center" vertical="center"/>
    </xf>
    <xf numFmtId="0" fontId="9" fillId="3" borderId="20" applyAlignment="1" pivotButton="0" quotePrefix="0" xfId="0">
      <alignment horizontal="center" vertical="center"/>
    </xf>
    <xf numFmtId="0" fontId="9" fillId="3" borderId="10" applyAlignment="1" pivotButton="0" quotePrefix="0" xfId="0">
      <alignment horizontal="center" vertical="center"/>
    </xf>
    <xf numFmtId="0" fontId="9" fillId="3" borderId="87" applyAlignment="1" pivotButton="0" quotePrefix="0" xfId="0">
      <alignment horizontal="center" vertical="center"/>
    </xf>
    <xf numFmtId="0" fontId="2" fillId="0" borderId="71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72" applyAlignment="1" pivotButton="0" quotePrefix="0" xfId="0">
      <alignment horizontal="center" vertical="center" wrapText="1"/>
    </xf>
    <xf numFmtId="0" fontId="2" fillId="0" borderId="78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/>
    </xf>
    <xf numFmtId="0" fontId="2" fillId="0" borderId="49" applyAlignment="1" pivotButton="0" quotePrefix="0" xfId="0">
      <alignment horizontal="center" vertical="center"/>
    </xf>
    <xf numFmtId="0" fontId="2" fillId="0" borderId="75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51" applyAlignment="1" pivotButton="0" quotePrefix="0" xfId="0">
      <alignment horizontal="center" vertical="center" wrapText="1"/>
    </xf>
    <xf numFmtId="0" fontId="2" fillId="0" borderId="27" applyAlignment="1" pivotButton="0" quotePrefix="0" xfId="0">
      <alignment horizontal="center" vertical="center" wrapText="1"/>
    </xf>
    <xf numFmtId="0" fontId="2" fillId="0" borderId="71" applyAlignment="1" pivotButton="0" quotePrefix="0" xfId="0">
      <alignment horizontal="center" vertical="center"/>
    </xf>
    <xf numFmtId="0" fontId="2" fillId="0" borderId="72" applyAlignment="1" pivotButton="0" quotePrefix="0" xfId="0">
      <alignment horizontal="center" vertical="center"/>
    </xf>
    <xf numFmtId="0" fontId="2" fillId="0" borderId="79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51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4" borderId="75" applyAlignment="1" pivotButton="0" quotePrefix="0" xfId="0">
      <alignment horizontal="center" vertical="center" wrapText="1"/>
    </xf>
    <xf numFmtId="0" fontId="2" fillId="4" borderId="19" applyAlignment="1" pivotButton="0" quotePrefix="0" xfId="0">
      <alignment horizontal="center"/>
    </xf>
    <xf numFmtId="0" fontId="2" fillId="4" borderId="70" applyAlignment="1" pivotButton="0" quotePrefix="0" xfId="0">
      <alignment horizontal="center"/>
    </xf>
    <xf numFmtId="0" fontId="2" fillId="0" borderId="70" applyAlignment="1" pivotButton="0" quotePrefix="0" xfId="0">
      <alignment horizontal="center" vertical="center"/>
    </xf>
    <xf numFmtId="0" fontId="2" fillId="3" borderId="91" applyAlignment="1" pivotButton="0" quotePrefix="0" xfId="0">
      <alignment horizontal="left" vertical="top" wrapText="1"/>
    </xf>
    <xf numFmtId="0" fontId="2" fillId="3" borderId="28" applyAlignment="1" pivotButton="0" quotePrefix="0" xfId="0">
      <alignment horizontal="left" vertical="top"/>
    </xf>
    <xf numFmtId="0" fontId="2" fillId="3" borderId="92" applyAlignment="1" pivotButton="0" quotePrefix="0" xfId="0">
      <alignment horizontal="left" vertical="top"/>
    </xf>
    <xf numFmtId="0" fontId="2" fillId="3" borderId="25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3" borderId="93" applyAlignment="1" pivotButton="0" quotePrefix="0" xfId="0">
      <alignment horizontal="left" vertical="top"/>
    </xf>
    <xf numFmtId="0" fontId="2" fillId="3" borderId="6" applyAlignment="1" pivotButton="0" quotePrefix="0" xfId="0">
      <alignment horizontal="left" vertical="top"/>
    </xf>
    <xf numFmtId="0" fontId="2" fillId="3" borderId="5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/>
    </xf>
    <xf numFmtId="0" fontId="2" fillId="0" borderId="20" applyAlignment="1" pivotButton="0" quotePrefix="0" xfId="0">
      <alignment horizontal="center" vertical="center" wrapText="1"/>
    </xf>
    <xf numFmtId="0" fontId="2" fillId="0" borderId="94" applyAlignment="1" pivotButton="0" quotePrefix="0" xfId="0">
      <alignment horizontal="center" vertical="center" wrapText="1"/>
    </xf>
    <xf numFmtId="0" fontId="2" fillId="0" borderId="95" applyAlignment="1" pivotButton="0" quotePrefix="0" xfId="0">
      <alignment horizontal="center" vertical="center" wrapText="1"/>
    </xf>
    <xf numFmtId="0" fontId="2" fillId="0" borderId="9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/>
    </xf>
    <xf numFmtId="0" fontId="2" fillId="0" borderId="97" applyAlignment="1" pivotButton="0" quotePrefix="0" xfId="0">
      <alignment horizontal="center"/>
    </xf>
    <xf numFmtId="0" fontId="2" fillId="0" borderId="98" applyAlignment="1" pivotButton="0" quotePrefix="0" xfId="0">
      <alignment horizontal="center"/>
    </xf>
    <xf numFmtId="0" fontId="2" fillId="4" borderId="12" applyAlignment="1" pivotButton="0" quotePrefix="0" xfId="0">
      <alignment horizontal="center"/>
    </xf>
    <xf numFmtId="0" fontId="2" fillId="4" borderId="7" applyAlignment="1" pivotButton="0" quotePrefix="0" xfId="0">
      <alignment horizontal="center"/>
    </xf>
    <xf numFmtId="0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12" fillId="0" borderId="87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/>
    </xf>
    <xf numFmtId="0" fontId="12" fillId="0" borderId="31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2" fillId="0" borderId="2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2" fillId="0" borderId="86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center"/>
    </xf>
    <xf numFmtId="0" fontId="12" fillId="0" borderId="30" applyAlignment="1" pivotButton="0" quotePrefix="0" xfId="0">
      <alignment horizontal="center" vertical="center"/>
    </xf>
    <xf numFmtId="0" fontId="12" fillId="0" borderId="63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center" wrapText="1"/>
    </xf>
    <xf numFmtId="0" fontId="12" fillId="0" borderId="89" applyAlignment="1" pivotButton="0" quotePrefix="0" xfId="0">
      <alignment horizontal="center" vertical="center" wrapText="1"/>
    </xf>
    <xf numFmtId="0" fontId="12" fillId="2" borderId="100" applyAlignment="1" pivotButton="0" quotePrefix="0" xfId="0">
      <alignment horizontal="center" vertical="center" wrapText="1"/>
    </xf>
    <xf numFmtId="0" fontId="12" fillId="2" borderId="99" applyAlignment="1" pivotButton="0" quotePrefix="0" xfId="0">
      <alignment horizontal="center" vertical="center"/>
    </xf>
    <xf numFmtId="0" fontId="12" fillId="2" borderId="101" applyAlignment="1" pivotButton="0" quotePrefix="0" xfId="0">
      <alignment horizontal="center" vertical="center"/>
    </xf>
    <xf numFmtId="0" fontId="12" fillId="2" borderId="23" applyAlignment="1" pivotButton="0" quotePrefix="0" xfId="0">
      <alignment horizontal="center" vertical="center" wrapText="1"/>
    </xf>
    <xf numFmtId="0" fontId="12" fillId="2" borderId="23" applyAlignment="1" pivotButton="0" quotePrefix="0" xfId="0">
      <alignment horizontal="center" vertical="center"/>
    </xf>
    <xf numFmtId="0" fontId="12" fillId="2" borderId="90" applyAlignment="1" pivotButton="0" quotePrefix="0" xfId="0">
      <alignment horizontal="center" vertical="center"/>
    </xf>
    <xf numFmtId="0" fontId="12" fillId="2" borderId="87" applyAlignment="1" pivotButton="0" quotePrefix="0" xfId="0">
      <alignment horizontal="center" vertical="center" wrapText="1"/>
    </xf>
    <xf numFmtId="0" fontId="12" fillId="0" borderId="89" applyAlignment="1" pivotButton="0" quotePrefix="0" xfId="0">
      <alignment horizontal="center" vertical="center"/>
    </xf>
    <xf numFmtId="0" fontId="12" fillId="0" borderId="64" applyAlignment="1" pivotButton="0" quotePrefix="0" xfId="0">
      <alignment horizontal="center" vertical="center" wrapText="1"/>
    </xf>
    <xf numFmtId="0" fontId="12" fillId="0" borderId="90" applyAlignment="1" pivotButton="0" quotePrefix="0" xfId="0">
      <alignment horizontal="center" vertical="center"/>
    </xf>
    <xf numFmtId="0" fontId="2" fillId="0" borderId="49" applyAlignment="1" pivotButton="0" quotePrefix="0" xfId="0">
      <alignment horizontal="center" vertical="center" shrinkToFit="1"/>
    </xf>
    <xf numFmtId="0" fontId="2" fillId="0" borderId="27" applyAlignment="1" pivotButton="0" quotePrefix="0" xfId="0">
      <alignment horizontal="center" vertical="center" shrinkToFit="1"/>
    </xf>
    <xf numFmtId="0" fontId="12" fillId="2" borderId="3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4" fillId="5" borderId="65" applyAlignment="1" pivotButton="0" quotePrefix="0" xfId="0">
      <alignment horizontal="center" vertical="center" wrapText="1"/>
    </xf>
    <xf numFmtId="0" fontId="4" fillId="5" borderId="104" applyAlignment="1" pivotButton="0" quotePrefix="0" xfId="0">
      <alignment horizontal="center" vertical="center" wrapText="1"/>
    </xf>
    <xf numFmtId="0" fontId="4" fillId="5" borderId="78" applyAlignment="1" pivotButton="0" quotePrefix="0" xfId="0">
      <alignment horizontal="center" vertical="center" wrapText="1"/>
    </xf>
    <xf numFmtId="0" fontId="4" fillId="5" borderId="26" applyAlignment="1" pivotButton="0" quotePrefix="0" xfId="0">
      <alignment horizontal="center" vertical="center" wrapText="1"/>
    </xf>
    <xf numFmtId="0" fontId="4" fillId="5" borderId="96" applyAlignment="1" pivotButton="0" quotePrefix="0" xfId="0">
      <alignment horizontal="center" vertical="center" wrapText="1"/>
    </xf>
    <xf numFmtId="0" fontId="4" fillId="5" borderId="79" applyAlignment="1" pivotButton="0" quotePrefix="0" xfId="0">
      <alignment horizontal="center" vertical="center" wrapText="1"/>
    </xf>
    <xf numFmtId="0" fontId="4" fillId="5" borderId="75" applyAlignment="1" pivotButton="0" quotePrefix="0" xfId="0">
      <alignment horizontal="center" vertical="center" wrapText="1"/>
    </xf>
    <xf numFmtId="0" fontId="4" fillId="5" borderId="39" applyAlignment="1" pivotButton="0" quotePrefix="0" xfId="0">
      <alignment horizontal="center" vertical="center" wrapText="1"/>
    </xf>
    <xf numFmtId="0" fontId="4" fillId="5" borderId="105" applyAlignment="1" pivotButton="0" quotePrefix="0" xfId="0">
      <alignment horizontal="center" vertical="center" wrapText="1"/>
    </xf>
    <xf numFmtId="0" fontId="4" fillId="5" borderId="21" applyAlignment="1" pivotButton="0" quotePrefix="0" xfId="0">
      <alignment horizontal="center" vertical="center" wrapText="1"/>
    </xf>
    <xf numFmtId="0" fontId="4" fillId="5" borderId="87" applyAlignment="1" pivotButton="0" quotePrefix="0" xfId="0">
      <alignment horizontal="center" vertical="center" wrapText="1"/>
    </xf>
    <xf numFmtId="0" fontId="4" fillId="5" borderId="86" applyAlignment="1" pivotButton="0" quotePrefix="0" xfId="0">
      <alignment horizontal="center" vertical="center" wrapText="1"/>
    </xf>
    <xf numFmtId="0" fontId="4" fillId="5" borderId="22" applyAlignment="1" pivotButton="0" quotePrefix="0" xfId="0">
      <alignment horizontal="center" vertical="center" wrapText="1"/>
    </xf>
    <xf numFmtId="0" fontId="4" fillId="5" borderId="19" applyAlignment="1" pivotButton="0" quotePrefix="0" xfId="0">
      <alignment horizontal="center" vertical="center" wrapText="1"/>
    </xf>
    <xf numFmtId="0" fontId="4" fillId="5" borderId="35" applyAlignment="1" pivotButton="0" quotePrefix="0" xfId="0">
      <alignment horizontal="center" vertical="center" wrapText="1"/>
    </xf>
    <xf numFmtId="0" fontId="4" fillId="5" borderId="106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1" applyAlignment="1" pivotButton="0" quotePrefix="0" xfId="0">
      <alignment horizontal="center" vertical="center" wrapText="1"/>
    </xf>
    <xf numFmtId="0" fontId="4" fillId="5" borderId="30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5" borderId="70" applyAlignment="1" pivotButton="0" quotePrefix="0" xfId="0">
      <alignment horizontal="center" vertical="center" wrapText="1"/>
    </xf>
    <xf numFmtId="0" fontId="4" fillId="5" borderId="39" applyAlignment="1" pivotButton="0" quotePrefix="0" xfId="0">
      <alignment horizontal="center" vertical="center" wrapText="1"/>
    </xf>
    <xf numFmtId="0" fontId="4" fillId="5" borderId="105" applyAlignment="1" pivotButton="0" quotePrefix="0" xfId="0">
      <alignment horizontal="center" vertical="center" wrapText="1"/>
    </xf>
    <xf numFmtId="0" fontId="10" fillId="5" borderId="20" applyAlignment="1" pivotButton="0" quotePrefix="0" xfId="0">
      <alignment horizontal="center" vertical="center" wrapText="1"/>
    </xf>
    <xf numFmtId="0" fontId="10" fillId="5" borderId="21" applyAlignment="1" pivotButton="0" quotePrefix="0" xfId="0">
      <alignment horizontal="center" vertical="center" wrapText="1"/>
    </xf>
    <xf numFmtId="0" fontId="4" fillId="5" borderId="20" applyAlignment="1" pivotButton="0" quotePrefix="0" xfId="0">
      <alignment horizontal="center" vertical="center" wrapText="1"/>
    </xf>
    <xf numFmtId="0" fontId="4" fillId="5" borderId="24" applyAlignment="1" pivotButton="0" quotePrefix="0" xfId="0">
      <alignment horizontal="center" vertical="center" wrapText="1"/>
    </xf>
    <xf numFmtId="0" fontId="4" fillId="5" borderId="23" applyAlignment="1" pivotButton="0" quotePrefix="0" xfId="0">
      <alignment horizontal="center" vertical="center" wrapText="1"/>
    </xf>
    <xf numFmtId="0" fontId="4" fillId="5" borderId="107" applyAlignment="1" pivotButton="0" quotePrefix="0" xfId="0">
      <alignment horizontal="center" vertical="center" wrapText="1"/>
    </xf>
    <xf numFmtId="0" fontId="10" fillId="5" borderId="108" applyAlignment="1" pivotButton="0" quotePrefix="0" xfId="0">
      <alignment horizontal="center" vertical="center" wrapText="1"/>
    </xf>
    <xf numFmtId="0" fontId="10" fillId="5" borderId="22" applyAlignment="1" pivotButton="0" quotePrefix="0" xfId="0">
      <alignment horizontal="center" vertical="center" wrapText="1"/>
    </xf>
    <xf numFmtId="0" fontId="4" fillId="5" borderId="21" applyAlignment="1" pivotButton="0" quotePrefix="0" xfId="0">
      <alignment horizontal="center" vertical="center" wrapText="1"/>
    </xf>
    <xf numFmtId="0" fontId="4" fillId="5" borderId="19" applyAlignment="1" pivotButton="0" quotePrefix="0" xfId="0">
      <alignment horizontal="center" vertical="center" wrapText="1"/>
    </xf>
    <xf numFmtId="0" fontId="9" fillId="0" borderId="65" applyAlignment="1" pivotButton="0" quotePrefix="0" xfId="0">
      <alignment horizontal="center" vertical="center" wrapText="1"/>
    </xf>
    <xf numFmtId="0" fontId="12" fillId="0" borderId="104" applyAlignment="1" pivotButton="0" quotePrefix="0" xfId="0">
      <alignment horizontal="center" vertical="center" wrapText="1"/>
    </xf>
    <xf numFmtId="49" fontId="2" fillId="0" borderId="77" applyAlignment="1" pivotButton="0" quotePrefix="0" xfId="0">
      <alignment horizontal="center" vertical="center" wrapText="1"/>
    </xf>
    <xf numFmtId="0" fontId="2" fillId="0" borderId="62" applyAlignment="1" pivotButton="0" quotePrefix="0" xfId="0">
      <alignment horizontal="center" vertical="center" shrinkToFit="1"/>
    </xf>
    <xf numFmtId="0" fontId="2" fillId="2" borderId="59" applyAlignment="1" pivotButton="0" quotePrefix="0" xfId="0">
      <alignment horizontal="center" vertical="center" wrapText="1"/>
    </xf>
    <xf numFmtId="0" fontId="2" fillId="2" borderId="109" applyAlignment="1" pivotButton="0" quotePrefix="0" xfId="0">
      <alignment horizontal="center" vertical="center" wrapText="1"/>
    </xf>
    <xf numFmtId="0" fontId="2" fillId="2" borderId="76" applyAlignment="1" pivotButton="0" quotePrefix="0" xfId="0">
      <alignment horizontal="center" vertical="center" wrapText="1"/>
    </xf>
    <xf numFmtId="0" fontId="2" fillId="2" borderId="68" applyAlignment="1" pivotButton="0" quotePrefix="0" xfId="0">
      <alignment horizontal="center" vertical="center" wrapText="1"/>
    </xf>
    <xf numFmtId="0" fontId="2" fillId="0" borderId="76" applyAlignment="1" pivotButton="0" quotePrefix="0" xfId="0">
      <alignment horizontal="center" vertical="center" wrapText="1"/>
    </xf>
    <xf numFmtId="0" fontId="2" fillId="0" borderId="68" applyAlignment="1" pivotButton="0" quotePrefix="0" xfId="0">
      <alignment horizontal="center" vertical="center" wrapText="1"/>
    </xf>
    <xf numFmtId="0" fontId="2" fillId="0" borderId="59" applyAlignment="1" pivotButton="0" quotePrefix="0" xfId="0">
      <alignment horizontal="center" vertical="center" wrapText="1"/>
    </xf>
    <xf numFmtId="49" fontId="2" fillId="0" borderId="43" applyAlignment="1" pivotButton="0" quotePrefix="0" xfId="0">
      <alignment horizontal="center" vertical="center" shrinkToFit="1"/>
    </xf>
    <xf numFmtId="49" fontId="2" fillId="0" borderId="56" applyAlignment="1" pivotButton="0" quotePrefix="0" xfId="0">
      <alignment horizontal="center" vertical="center" wrapText="1"/>
    </xf>
    <xf numFmtId="0" fontId="2" fillId="0" borderId="78" applyAlignment="1" pivotButton="0" quotePrefix="0" xfId="0">
      <alignment horizontal="center" vertical="center" wrapText="1"/>
    </xf>
    <xf numFmtId="0" fontId="12" fillId="0" borderId="75" applyAlignment="1" pivotButton="0" quotePrefix="0" xfId="0">
      <alignment horizontal="center" vertical="center" wrapText="1"/>
    </xf>
    <xf numFmtId="0" fontId="9" fillId="0" borderId="39" applyAlignment="1" pivotButton="0" quotePrefix="0" xfId="0">
      <alignment horizontal="center" vertical="center" wrapText="1"/>
    </xf>
    <xf numFmtId="0" fontId="12" fillId="0" borderId="105" applyAlignment="1" pivotButton="0" quotePrefix="0" xfId="0">
      <alignment horizontal="center" vertical="center" wrapText="1"/>
    </xf>
    <xf numFmtId="49" fontId="2" fillId="0" borderId="38" applyAlignment="1" pivotButton="0" quotePrefix="0" xfId="0">
      <alignment horizontal="center" vertical="center" wrapText="1"/>
    </xf>
    <xf numFmtId="0" fontId="2" fillId="0" borderId="36" applyAlignment="1" pivotButton="0" quotePrefix="0" xfId="0">
      <alignment horizontal="center" vertical="center" shrinkToFit="1"/>
    </xf>
    <xf numFmtId="0" fontId="2" fillId="2" borderId="56" applyAlignment="1" pivotButton="0" quotePrefix="0" xfId="0">
      <alignment horizontal="center" vertical="center" wrapText="1"/>
    </xf>
    <xf numFmtId="0" fontId="2" fillId="2" borderId="58" applyAlignment="1" pivotButton="0" quotePrefix="0" xfId="0">
      <alignment horizontal="center" vertical="center" wrapText="1"/>
    </xf>
    <xf numFmtId="0" fontId="2" fillId="2" borderId="57" applyAlignment="1" pivotButton="0" quotePrefix="0" xfId="0">
      <alignment horizontal="center" vertical="center" wrapText="1"/>
    </xf>
    <xf numFmtId="0" fontId="2" fillId="2" borderId="37" applyAlignment="1" pivotButton="0" quotePrefix="0" xfId="0">
      <alignment horizontal="center" vertical="center" wrapText="1"/>
    </xf>
    <xf numFmtId="0" fontId="2" fillId="0" borderId="57" applyAlignment="1" pivotButton="0" quotePrefix="0" xfId="0">
      <alignment horizontal="center" vertical="center" wrapText="1"/>
    </xf>
    <xf numFmtId="0" fontId="2" fillId="0" borderId="37" applyAlignment="1" pivotButton="0" quotePrefix="0" xfId="0">
      <alignment horizontal="center" vertical="center" wrapText="1"/>
    </xf>
    <xf numFmtId="0" fontId="2" fillId="0" borderId="56" applyAlignment="1" pivotButton="0" quotePrefix="0" xfId="0">
      <alignment horizontal="center" vertical="center" wrapText="1"/>
    </xf>
    <xf numFmtId="49" fontId="2" fillId="0" borderId="36" applyAlignment="1" pivotButton="0" quotePrefix="0" xfId="0">
      <alignment horizontal="center" vertical="center" shrinkToFit="1"/>
    </xf>
    <xf numFmtId="0" fontId="12" fillId="0" borderId="19" applyAlignment="1" pivotButton="0" quotePrefix="0" xfId="0">
      <alignment horizontal="center" vertical="center" wrapText="1"/>
    </xf>
    <xf numFmtId="49" fontId="2" fillId="0" borderId="36" applyAlignment="1" pivotButton="0" quotePrefix="0" xfId="0">
      <alignment horizontal="center" vertical="center" wrapText="1"/>
    </xf>
    <xf numFmtId="0" fontId="12" fillId="0" borderId="110" applyAlignment="1" pivotButton="0" quotePrefix="0" xfId="0">
      <alignment horizontal="center" vertical="center" wrapText="1"/>
    </xf>
    <xf numFmtId="49" fontId="2" fillId="0" borderId="44" applyAlignment="1" pivotButton="0" quotePrefix="0" xfId="0">
      <alignment horizontal="center" vertical="center" wrapText="1"/>
    </xf>
    <xf numFmtId="0" fontId="2" fillId="2" borderId="44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60" applyAlignment="1" pivotButton="0" quotePrefix="0" xfId="0">
      <alignment horizontal="center" vertical="center" wrapText="1"/>
    </xf>
    <xf numFmtId="0" fontId="2" fillId="2" borderId="41" applyAlignment="1" pivotButton="0" quotePrefix="0" xfId="0">
      <alignment horizontal="center" vertical="center" wrapText="1"/>
    </xf>
    <xf numFmtId="0" fontId="2" fillId="0" borderId="60" applyAlignment="1" pivotButton="0" quotePrefix="0" xfId="0">
      <alignment horizontal="center" vertical="center" wrapText="1"/>
    </xf>
    <xf numFmtId="0" fontId="2" fillId="0" borderId="41" applyAlignment="1" pivotButton="0" quotePrefix="0" xfId="0">
      <alignment horizontal="center" vertical="center" wrapText="1"/>
    </xf>
    <xf numFmtId="49" fontId="2" fillId="0" borderId="54" applyAlignment="1" pivotButton="0" quotePrefix="0" xfId="0">
      <alignment horizontal="center" vertical="center" wrapText="1"/>
    </xf>
    <xf numFmtId="0" fontId="12" fillId="0" borderId="72" applyAlignment="1" pivotButton="0" quotePrefix="0" xfId="0">
      <alignment horizontal="center" vertical="center" wrapText="1"/>
    </xf>
    <xf numFmtId="0" fontId="12" fillId="0" borderId="88" applyAlignment="1" pivotButton="0" quotePrefix="0" xfId="0">
      <alignment horizontal="center" vertical="center" wrapText="1"/>
    </xf>
    <xf numFmtId="49" fontId="2" fillId="0" borderId="40" applyAlignment="1" pivotButton="0" quotePrefix="0" xfId="0">
      <alignment horizontal="center" vertical="center" wrapText="1"/>
    </xf>
    <xf numFmtId="0" fontId="2" fillId="0" borderId="40" applyAlignment="1" pivotButton="0" quotePrefix="0" xfId="0">
      <alignment horizontal="center" vertical="center" shrinkToFit="1"/>
    </xf>
    <xf numFmtId="0" fontId="2" fillId="2" borderId="61" applyAlignment="1" pivotButton="0" quotePrefix="0" xfId="0">
      <alignment horizontal="center" vertical="center" wrapText="1"/>
    </xf>
    <xf numFmtId="0" fontId="2" fillId="2" borderId="40" applyAlignment="1" pivotButton="0" quotePrefix="0" xfId="0">
      <alignment horizontal="center" vertical="center" wrapText="1"/>
    </xf>
    <xf numFmtId="0" fontId="2" fillId="2" borderId="48" applyAlignment="1" pivotButton="0" quotePrefix="0" xfId="0">
      <alignment horizontal="center" vertical="center" wrapText="1"/>
    </xf>
    <xf numFmtId="0" fontId="2" fillId="2" borderId="47" applyAlignment="1" pivotButton="0" quotePrefix="0" xfId="0">
      <alignment horizontal="center" vertical="center" wrapText="1"/>
    </xf>
    <xf numFmtId="0" fontId="2" fillId="0" borderId="50" applyAlignment="1" pivotButton="0" quotePrefix="0" xfId="0">
      <alignment horizontal="center" vertical="center" wrapText="1"/>
    </xf>
    <xf numFmtId="0" fontId="2" fillId="0" borderId="47" applyAlignment="1" pivotButton="0" quotePrefix="0" xfId="0">
      <alignment horizontal="center" vertical="center" wrapText="1"/>
    </xf>
    <xf numFmtId="49" fontId="2" fillId="0" borderId="40" applyAlignment="1" pivotButton="0" quotePrefix="0" xfId="0">
      <alignment horizontal="center" vertical="center" shrinkToFit="1"/>
    </xf>
    <xf numFmtId="49" fontId="2" fillId="0" borderId="61" applyAlignment="1" pivotButton="0" quotePrefix="0" xfId="0">
      <alignment horizontal="center" vertical="center" wrapText="1"/>
    </xf>
    <xf numFmtId="0" fontId="12" fillId="0" borderId="71" applyAlignment="1" pivotButton="0" quotePrefix="0" xfId="0">
      <alignment horizontal="center" vertical="center" wrapText="1"/>
    </xf>
    <xf numFmtId="0" fontId="2" fillId="2" borderId="36" applyAlignment="1" pivotButton="0" quotePrefix="0" xfId="0">
      <alignment horizontal="center" vertical="center" wrapText="1"/>
    </xf>
    <xf numFmtId="0" fontId="2" fillId="2" borderId="38" applyAlignment="1" pivotButton="0" quotePrefix="0" xfId="0">
      <alignment horizontal="center" vertical="center" wrapText="1"/>
    </xf>
    <xf numFmtId="0" fontId="2" fillId="0" borderId="44" applyAlignment="1" pivotButton="0" quotePrefix="0" xfId="0">
      <alignment horizontal="center" vertical="center" shrinkToFit="1"/>
    </xf>
    <xf numFmtId="0" fontId="2" fillId="2" borderId="111" applyAlignment="1" pivotButton="0" quotePrefix="0" xfId="0">
      <alignment horizontal="center" vertical="center" wrapText="1"/>
    </xf>
    <xf numFmtId="0" fontId="2" fillId="2" borderId="46" applyAlignment="1" pivotButton="0" quotePrefix="0" xfId="0">
      <alignment horizontal="center" vertical="center" wrapText="1"/>
    </xf>
    <xf numFmtId="0" fontId="2" fillId="2" borderId="45" applyAlignment="1" pivotButton="0" quotePrefix="0" xfId="0">
      <alignment horizontal="center" vertical="center" wrapText="1"/>
    </xf>
    <xf numFmtId="0" fontId="2" fillId="0" borderId="53" applyAlignment="1" pivotButton="0" quotePrefix="0" xfId="0">
      <alignment horizontal="center" vertical="center" wrapText="1"/>
    </xf>
    <xf numFmtId="0" fontId="2" fillId="0" borderId="45" applyAlignment="1" pivotButton="0" quotePrefix="0" xfId="0">
      <alignment horizontal="center" vertical="center" wrapText="1"/>
    </xf>
    <xf numFmtId="49" fontId="2" fillId="0" borderId="44" applyAlignment="1" pivotButton="0" quotePrefix="0" xfId="0">
      <alignment horizontal="center" vertical="center" shrinkToFit="1"/>
    </xf>
    <xf numFmtId="0" fontId="2" fillId="2" borderId="112" applyAlignment="1" pivotButton="0" quotePrefix="0" xfId="0">
      <alignment horizontal="center" vertical="center" wrapText="1"/>
    </xf>
    <xf numFmtId="0" fontId="2" fillId="2" borderId="50" applyAlignment="1" pivotButton="0" quotePrefix="0" xfId="0">
      <alignment horizontal="center" vertical="center" wrapText="1"/>
    </xf>
    <xf numFmtId="0" fontId="2" fillId="2" borderId="55" applyAlignment="1" pivotButton="0" quotePrefix="0" xfId="0">
      <alignment horizontal="center" vertical="center" wrapText="1"/>
    </xf>
    <xf numFmtId="0" fontId="2" fillId="2" borderId="32" applyAlignment="1" pivotButton="0" quotePrefix="0" xfId="0">
      <alignment horizontal="center" vertical="center" wrapText="1"/>
    </xf>
    <xf numFmtId="0" fontId="2" fillId="0" borderId="55" applyAlignment="1" pivotButton="0" quotePrefix="0" xfId="0">
      <alignment horizontal="center" vertical="center" wrapText="1"/>
    </xf>
    <xf numFmtId="0" fontId="2" fillId="0" borderId="32" applyAlignment="1" pivotButton="0" quotePrefix="0" xfId="0">
      <alignment horizontal="center" vertical="center" wrapText="1"/>
    </xf>
    <xf numFmtId="0" fontId="2" fillId="0" borderId="61" applyAlignment="1" pivotButton="0" quotePrefix="0" xfId="0">
      <alignment horizontal="center" vertical="center" wrapText="1"/>
    </xf>
    <xf numFmtId="0" fontId="2" fillId="2" borderId="52" applyAlignment="1" pivotButton="0" quotePrefix="0" xfId="0">
      <alignment horizontal="center" vertical="center" wrapText="1"/>
    </xf>
    <xf numFmtId="0" fontId="2" fillId="2" borderId="53" applyAlignment="1" pivotButton="0" quotePrefix="0" xfId="0">
      <alignment horizontal="center" vertical="center" wrapText="1"/>
    </xf>
    <xf numFmtId="0" fontId="2" fillId="0" borderId="50" applyAlignment="1" pivotButton="0" quotePrefix="1" xfId="0">
      <alignment horizontal="center" vertical="center" wrapText="1"/>
    </xf>
    <xf numFmtId="0" fontId="2" fillId="0" borderId="61" applyAlignment="1" pivotButton="0" quotePrefix="1" xfId="0">
      <alignment horizontal="center" vertical="center" wrapText="1"/>
    </xf>
    <xf numFmtId="0" fontId="2" fillId="0" borderId="57" applyAlignment="1" pivotButton="0" quotePrefix="1" xfId="0">
      <alignment horizontal="center" vertical="center" wrapText="1"/>
    </xf>
    <xf numFmtId="0" fontId="2" fillId="0" borderId="56" applyAlignment="1" pivotButton="0" quotePrefix="1" xfId="0">
      <alignment horizontal="center" vertical="center" wrapText="1"/>
    </xf>
    <xf numFmtId="49" fontId="2" fillId="0" borderId="34" applyAlignment="1" pivotButton="0" quotePrefix="0" xfId="0">
      <alignment horizontal="center" vertical="center" wrapText="1"/>
    </xf>
    <xf numFmtId="0" fontId="2" fillId="0" borderId="52" applyAlignment="1" pivotButton="0" quotePrefix="0" xfId="0">
      <alignment horizontal="center" vertical="center" wrapText="1"/>
    </xf>
    <xf numFmtId="49" fontId="2" fillId="0" borderId="54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left" vertical="top"/>
    </xf>
    <xf numFmtId="0" fontId="2" fillId="2" borderId="27" applyAlignment="1" pivotButton="0" quotePrefix="0" xfId="0">
      <alignment horizontal="center" vertical="center" wrapText="1"/>
    </xf>
    <xf numFmtId="49" fontId="2" fillId="0" borderId="52" applyAlignment="1" pivotButton="0" quotePrefix="0" xfId="0">
      <alignment horizontal="center" vertical="center" shrinkToFit="1"/>
    </xf>
    <xf numFmtId="49" fontId="2" fillId="0" borderId="52" applyAlignment="1" pivotButton="0" quotePrefix="0" xfId="0">
      <alignment horizontal="center" vertical="center" wrapText="1"/>
    </xf>
    <xf numFmtId="0" fontId="12" fillId="0" borderId="88" applyAlignment="1" pivotButton="0" quotePrefix="0" xfId="0">
      <alignment horizontal="center" vertical="center" wrapText="1"/>
    </xf>
    <xf numFmtId="0" fontId="9" fillId="0" borderId="35" applyAlignment="1" pivotButton="0" quotePrefix="0" xfId="0">
      <alignment horizontal="center" vertical="center" wrapText="1"/>
    </xf>
    <xf numFmtId="0" fontId="12" fillId="0" borderId="113" applyAlignment="1" pivotButton="0" quotePrefix="0" xfId="0">
      <alignment horizontal="center" vertical="center" wrapText="1"/>
    </xf>
    <xf numFmtId="49" fontId="2" fillId="0" borderId="114" applyAlignment="1" pivotButton="0" quotePrefix="0" xfId="0">
      <alignment horizontal="center" vertical="center" wrapText="1"/>
    </xf>
    <xf numFmtId="0" fontId="2" fillId="0" borderId="114" applyAlignment="1" pivotButton="0" quotePrefix="0" xfId="0">
      <alignment horizontal="center" vertical="center" shrinkToFit="1"/>
    </xf>
    <xf numFmtId="0" fontId="2" fillId="2" borderId="115" applyAlignment="1" pivotButton="0" quotePrefix="0" xfId="0">
      <alignment horizontal="center" vertical="center" wrapText="1"/>
    </xf>
    <xf numFmtId="0" fontId="2" fillId="2" borderId="116" applyAlignment="1" pivotButton="0" quotePrefix="0" xfId="0">
      <alignment horizontal="center" vertical="center" wrapText="1"/>
    </xf>
    <xf numFmtId="0" fontId="2" fillId="2" borderId="97" applyAlignment="1" pivotButton="0" quotePrefix="0" xfId="0">
      <alignment horizontal="center" vertical="center" wrapText="1"/>
    </xf>
    <xf numFmtId="0" fontId="2" fillId="2" borderId="117" applyAlignment="1" pivotButton="0" quotePrefix="0" xfId="0">
      <alignment horizontal="center" vertical="center" wrapText="1"/>
    </xf>
    <xf numFmtId="0" fontId="2" fillId="0" borderId="118" applyAlignment="1" pivotButton="0" quotePrefix="0" xfId="0">
      <alignment horizontal="center" vertical="center" wrapText="1"/>
    </xf>
    <xf numFmtId="0" fontId="2" fillId="0" borderId="117" applyAlignment="1" pivotButton="0" quotePrefix="0" xfId="0">
      <alignment horizontal="center" vertical="center" wrapText="1"/>
    </xf>
    <xf numFmtId="0" fontId="2" fillId="0" borderId="115" applyAlignment="1" pivotButton="0" quotePrefix="0" xfId="0">
      <alignment horizontal="center" vertical="center" wrapText="1"/>
    </xf>
    <xf numFmtId="49" fontId="2" fillId="0" borderId="114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horizontal="center" vertical="center" wrapText="1"/>
    </xf>
    <xf numFmtId="0" fontId="12" fillId="0" borderId="70" applyAlignment="1" pivotButton="0" quotePrefix="0" xfId="0">
      <alignment horizontal="center" vertical="center" wrapText="1"/>
    </xf>
    <xf numFmtId="49" fontId="12" fillId="0" borderId="62" applyAlignment="1" pivotButton="0" quotePrefix="0" xfId="0">
      <alignment horizontal="center" vertical="center" wrapText="1"/>
    </xf>
    <xf numFmtId="0" fontId="2" fillId="2" borderId="69" applyAlignment="1" pivotButton="0" quotePrefix="0" xfId="0">
      <alignment horizontal="center" vertical="center" wrapText="1"/>
    </xf>
    <xf numFmtId="0" fontId="2" fillId="2" borderId="77" applyAlignment="1" pivotButton="0" quotePrefix="0" xfId="0">
      <alignment horizontal="center" vertical="center" wrapText="1"/>
    </xf>
    <xf numFmtId="0" fontId="12" fillId="2" borderId="77" applyAlignment="1" pivotButton="0" quotePrefix="0" xfId="0">
      <alignment horizontal="center" vertical="center" wrapText="1"/>
    </xf>
    <xf numFmtId="0" fontId="12" fillId="2" borderId="68" applyAlignment="1" pivotButton="0" quotePrefix="1" xfId="0">
      <alignment horizontal="center" vertical="center" wrapText="1"/>
    </xf>
    <xf numFmtId="0" fontId="12" fillId="2" borderId="64" applyAlignment="1" pivotButton="0" quotePrefix="0" xfId="0">
      <alignment horizontal="center" vertical="center" wrapText="1"/>
    </xf>
    <xf numFmtId="0" fontId="12" fillId="2" borderId="119" applyAlignment="1" pivotButton="0" quotePrefix="0" xfId="0">
      <alignment horizontal="center" vertical="center" wrapText="1"/>
    </xf>
    <xf numFmtId="0" fontId="12" fillId="2" borderId="76" applyAlignment="1" pivotButton="0" quotePrefix="0" xfId="0">
      <alignment horizontal="center" vertical="center" wrapText="1"/>
    </xf>
    <xf numFmtId="0" fontId="12" fillId="2" borderId="69" applyAlignment="1" pivotButton="0" quotePrefix="0" xfId="0">
      <alignment horizontal="center" vertical="center" wrapText="1"/>
    </xf>
    <xf numFmtId="49" fontId="12" fillId="0" borderId="62" applyAlignment="1" pivotButton="0" quotePrefix="0" xfId="0">
      <alignment horizontal="center" vertical="center" shrinkToFit="1"/>
    </xf>
    <xf numFmtId="49" fontId="2" fillId="0" borderId="69" applyAlignment="1" pivotButton="0" quotePrefix="0" xfId="0">
      <alignment horizontal="center" vertical="center" wrapText="1"/>
    </xf>
    <xf numFmtId="0" fontId="12" fillId="0" borderId="78" applyAlignment="1" pivotButton="0" quotePrefix="0" xfId="0">
      <alignment horizontal="center" vertical="center" wrapText="1"/>
    </xf>
    <xf numFmtId="0" fontId="12" fillId="6" borderId="75" applyAlignment="1" pivotButton="0" quotePrefix="0" xfId="0">
      <alignment horizontal="center" vertical="center" wrapText="1"/>
    </xf>
    <xf numFmtId="49" fontId="12" fillId="0" borderId="36" applyAlignment="1" pivotButton="0" quotePrefix="0" xfId="0">
      <alignment horizontal="center" vertical="center" wrapText="1"/>
    </xf>
    <xf numFmtId="0" fontId="12" fillId="2" borderId="38" applyAlignment="1" pivotButton="0" quotePrefix="0" xfId="0">
      <alignment horizontal="center" vertical="center" wrapText="1"/>
    </xf>
    <xf numFmtId="0" fontId="12" fillId="2" borderId="37" applyAlignment="1" pivotButton="0" quotePrefix="1" xfId="0">
      <alignment horizontal="center" vertical="center" wrapText="1"/>
    </xf>
    <xf numFmtId="0" fontId="12" fillId="2" borderId="120" applyAlignment="1" pivotButton="0" quotePrefix="0" xfId="0">
      <alignment horizontal="center" vertical="center" wrapText="1"/>
    </xf>
    <xf numFmtId="0" fontId="12" fillId="2" borderId="57" applyAlignment="1" pivotButton="0" quotePrefix="0" xfId="0">
      <alignment horizontal="center" vertical="center" wrapText="1"/>
    </xf>
    <xf numFmtId="0" fontId="12" fillId="2" borderId="56" applyAlignment="1" pivotButton="0" quotePrefix="0" xfId="0">
      <alignment horizontal="center" vertical="center" wrapText="1"/>
    </xf>
    <xf numFmtId="49" fontId="12" fillId="0" borderId="36" applyAlignment="1" pivotButton="0" quotePrefix="0" xfId="0">
      <alignment horizontal="center" vertical="center" shrinkToFit="1"/>
    </xf>
    <xf numFmtId="0" fontId="12" fillId="6" borderId="19" applyAlignment="1" pivotButton="0" quotePrefix="0" xfId="0">
      <alignment horizontal="center" vertical="center" wrapText="1"/>
    </xf>
    <xf numFmtId="49" fontId="12" fillId="0" borderId="44" applyAlignment="1" pivotButton="0" quotePrefix="0" xfId="0">
      <alignment horizontal="center" vertical="center" wrapText="1"/>
    </xf>
    <xf numFmtId="0" fontId="12" fillId="2" borderId="46" applyAlignment="1" pivotButton="0" quotePrefix="0" xfId="0">
      <alignment horizontal="center" vertical="center" wrapText="1"/>
    </xf>
    <xf numFmtId="0" fontId="12" fillId="2" borderId="45" applyAlignment="1" pivotButton="0" quotePrefix="1" xfId="0">
      <alignment horizontal="center" vertical="center" wrapText="1"/>
    </xf>
    <xf numFmtId="0" fontId="9" fillId="2" borderId="121" applyAlignment="1" pivotButton="0" quotePrefix="0" xfId="0">
      <alignment horizontal="center" vertical="center" wrapText="1"/>
    </xf>
    <xf numFmtId="0" fontId="9" fillId="2" borderId="53" applyAlignment="1" pivotButton="0" quotePrefix="0" xfId="0">
      <alignment horizontal="center" vertical="center" wrapText="1"/>
    </xf>
    <xf numFmtId="0" fontId="9" fillId="2" borderId="52" applyAlignment="1" pivotButton="0" quotePrefix="0" xfId="0">
      <alignment horizontal="center" vertical="center" wrapText="1"/>
    </xf>
    <xf numFmtId="49" fontId="12" fillId="0" borderId="40" applyAlignment="1" pivotButton="0" quotePrefix="0" xfId="0">
      <alignment horizontal="center" vertical="center" wrapText="1"/>
    </xf>
    <xf numFmtId="0" fontId="12" fillId="2" borderId="48" applyAlignment="1" pivotButton="0" quotePrefix="0" xfId="0">
      <alignment horizontal="center" vertical="center" wrapText="1"/>
    </xf>
    <xf numFmtId="0" fontId="12" fillId="2" borderId="47" applyAlignment="1" pivotButton="0" quotePrefix="1" xfId="0">
      <alignment horizontal="center" vertical="center" wrapText="1"/>
    </xf>
    <xf numFmtId="0" fontId="12" fillId="0" borderId="122" applyAlignment="1" pivotButton="0" quotePrefix="0" xfId="0">
      <alignment horizontal="center" vertical="center" wrapText="1"/>
    </xf>
    <xf numFmtId="0" fontId="12" fillId="0" borderId="48" applyAlignment="1" pivotButton="0" quotePrefix="0" xfId="0">
      <alignment horizontal="center" vertical="center" wrapText="1"/>
    </xf>
    <xf numFmtId="0" fontId="12" fillId="0" borderId="47" applyAlignment="1" pivotButton="0" quotePrefix="1" xfId="0">
      <alignment horizontal="center" vertical="center" wrapText="1"/>
    </xf>
    <xf numFmtId="49" fontId="12" fillId="0" borderId="40" applyAlignment="1" pivotButton="0" quotePrefix="0" xfId="0">
      <alignment horizontal="center" vertical="center" shrinkToFit="1"/>
    </xf>
    <xf numFmtId="0" fontId="12" fillId="0" borderId="123" applyAlignment="1" pivotButton="0" quotePrefix="0" xfId="0">
      <alignment horizontal="center" vertical="center" wrapText="1"/>
    </xf>
    <xf numFmtId="0" fontId="12" fillId="0" borderId="38" applyAlignment="1" pivotButton="0" quotePrefix="0" xfId="0">
      <alignment horizontal="center" vertical="center" wrapText="1"/>
    </xf>
    <xf numFmtId="0" fontId="12" fillId="0" borderId="37" applyAlignment="1" pivotButton="0" quotePrefix="1" xfId="0">
      <alignment horizontal="center" vertical="center" wrapText="1"/>
    </xf>
    <xf numFmtId="0" fontId="12" fillId="2" borderId="38" applyAlignment="1" pivotButton="0" quotePrefix="1" xfId="0">
      <alignment horizontal="center" vertical="center" wrapText="1"/>
    </xf>
    <xf numFmtId="0" fontId="12" fillId="2" borderId="37" applyAlignment="1" pivotButton="0" quotePrefix="0" xfId="0">
      <alignment horizontal="center" vertical="center" wrapText="1"/>
    </xf>
    <xf numFmtId="0" fontId="12" fillId="0" borderId="123" applyAlignment="1" pivotButton="0" quotePrefix="1" xfId="0">
      <alignment horizontal="center" vertical="center" wrapText="1"/>
    </xf>
    <xf numFmtId="0" fontId="12" fillId="0" borderId="38" applyAlignment="1" pivotButton="0" quotePrefix="1" xfId="0">
      <alignment horizontal="center" vertical="center" wrapText="1"/>
    </xf>
    <xf numFmtId="0" fontId="12" fillId="0" borderId="37" applyAlignment="1" pivotButton="0" quotePrefix="0" xfId="0">
      <alignment horizontal="center" vertical="center" wrapText="1"/>
    </xf>
    <xf numFmtId="49" fontId="12" fillId="0" borderId="34" applyAlignment="1" pivotButton="0" quotePrefix="0" xfId="0">
      <alignment horizontal="center" vertical="center" wrapText="1"/>
    </xf>
    <xf numFmtId="0" fontId="2" fillId="2" borderId="20" applyAlignment="1" pivotButton="0" quotePrefix="0" xfId="0">
      <alignment horizontal="center" vertical="center" wrapText="1"/>
    </xf>
    <xf numFmtId="0" fontId="12" fillId="2" borderId="46" applyAlignment="1" pivotButton="0" quotePrefix="1" xfId="0">
      <alignment horizontal="center" vertical="center" wrapText="1"/>
    </xf>
    <xf numFmtId="0" fontId="12" fillId="2" borderId="45" applyAlignment="1" pivotButton="0" quotePrefix="0" xfId="0">
      <alignment horizontal="center" vertical="center" wrapText="1"/>
    </xf>
    <xf numFmtId="0" fontId="12" fillId="0" borderId="111" applyAlignment="1" pivotButton="0" quotePrefix="1" xfId="0">
      <alignment horizontal="center" vertical="center" wrapText="1"/>
    </xf>
    <xf numFmtId="0" fontId="12" fillId="0" borderId="46" applyAlignment="1" pivotButton="0" quotePrefix="1" xfId="0">
      <alignment horizontal="center" vertical="center" wrapText="1"/>
    </xf>
    <xf numFmtId="0" fontId="12" fillId="0" borderId="45" applyAlignment="1" pivotButton="0" quotePrefix="0" xfId="0">
      <alignment horizontal="center" vertical="center" wrapText="1"/>
    </xf>
    <xf numFmtId="0" fontId="12" fillId="0" borderId="81" applyAlignment="1" pivotButton="0" quotePrefix="0" xfId="0">
      <alignment horizontal="center" vertical="center" wrapText="1"/>
    </xf>
    <xf numFmtId="49" fontId="12" fillId="0" borderId="8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shrinkToFit="1"/>
    </xf>
    <xf numFmtId="0" fontId="2" fillId="2" borderId="9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12" fillId="2" borderId="12" applyAlignment="1" pivotButton="0" quotePrefix="1" xfId="0">
      <alignment horizontal="center" vertical="center" wrapText="1"/>
    </xf>
    <xf numFmtId="0" fontId="12" fillId="2" borderId="11" applyAlignment="1" pivotButton="0" quotePrefix="1" xfId="0">
      <alignment horizontal="center" vertical="center" wrapText="1"/>
    </xf>
    <xf numFmtId="0" fontId="12" fillId="0" borderId="124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49" fontId="12" fillId="0" borderId="8" applyAlignment="1" pivotButton="0" quotePrefix="0" xfId="0">
      <alignment horizontal="center" vertical="center" shrinkToFit="1"/>
    </xf>
    <xf numFmtId="49" fontId="2" fillId="0" borderId="9" applyAlignment="1" pivotButton="0" quotePrefix="0" xfId="0">
      <alignment horizontal="center" vertical="center" wrapText="1"/>
    </xf>
    <xf numFmtId="0" fontId="12" fillId="0" borderId="110" applyAlignment="1" pivotButton="0" quotePrefix="0" xfId="0">
      <alignment horizontal="center" vertical="center" wrapText="1"/>
    </xf>
    <xf numFmtId="49" fontId="12" fillId="0" borderId="21" applyAlignment="1" pivotButton="0" quotePrefix="0" xfId="0">
      <alignment horizontal="center" vertical="center" wrapText="1"/>
    </xf>
    <xf numFmtId="0" fontId="12" fillId="2" borderId="20" applyAlignment="1" pivotButton="0" quotePrefix="0" xfId="0">
      <alignment horizontal="center" vertical="center" wrapText="1"/>
    </xf>
    <xf numFmtId="0" fontId="12" fillId="2" borderId="24" applyAlignment="1" pivotButton="0" quotePrefix="0" xfId="0">
      <alignment horizontal="center" vertical="center" wrapText="1"/>
    </xf>
    <xf numFmtId="0" fontId="12" fillId="2" borderId="90" applyAlignment="1" pivotButton="0" quotePrefix="0" xfId="0">
      <alignment horizontal="center" vertical="center" wrapText="1"/>
    </xf>
    <xf numFmtId="0" fontId="12" fillId="0" borderId="99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 wrapText="1"/>
    </xf>
    <xf numFmtId="49" fontId="2" fillId="0" borderId="27" applyAlignment="1" pivotButton="0" quotePrefix="0" xfId="0">
      <alignment horizontal="center" vertical="center" shrinkToFit="1"/>
    </xf>
    <xf numFmtId="49" fontId="2" fillId="0" borderId="27" applyAlignment="1" pivotButton="0" quotePrefix="0" xfId="0">
      <alignment horizontal="center" vertical="center" wrapText="1"/>
    </xf>
    <xf numFmtId="0" fontId="12" fillId="2" borderId="47" applyAlignment="1" pivotButton="0" quotePrefix="0" xfId="0">
      <alignment horizontal="center" vertical="center" wrapText="1"/>
    </xf>
    <xf numFmtId="0" fontId="12" fillId="0" borderId="125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12" fillId="0" borderId="47" applyAlignment="1" pivotButton="0" quotePrefix="0" xfId="0">
      <alignment horizontal="center" vertical="center" wrapText="1"/>
    </xf>
    <xf numFmtId="0" fontId="12" fillId="0" borderId="106" applyAlignment="1" pivotButton="0" quotePrefix="0" xfId="0">
      <alignment horizontal="center" vertical="center" wrapText="1"/>
    </xf>
    <xf numFmtId="49" fontId="2" fillId="0" borderId="29" applyAlignment="1" pivotButton="0" quotePrefix="0" xfId="0">
      <alignment horizontal="center" vertical="center" wrapText="1"/>
    </xf>
    <xf numFmtId="0" fontId="2" fillId="0" borderId="29" applyAlignment="1" pivotButton="0" quotePrefix="0" xfId="0">
      <alignment horizontal="center" vertical="center" shrinkToFit="1"/>
    </xf>
    <xf numFmtId="0" fontId="2" fillId="2" borderId="29" applyAlignment="1" pivotButton="0" quotePrefix="0" xfId="0">
      <alignment horizontal="center" vertical="center" wrapText="1"/>
    </xf>
    <xf numFmtId="0" fontId="2" fillId="2" borderId="67" applyAlignment="1" pivotButton="0" quotePrefix="0" xfId="0">
      <alignment horizontal="center" vertical="center" wrapText="1"/>
    </xf>
    <xf numFmtId="0" fontId="2" fillId="2" borderId="66" applyAlignment="1" pivotButton="0" quotePrefix="0" xfId="0">
      <alignment horizontal="center" vertical="center" wrapText="1"/>
    </xf>
    <xf numFmtId="0" fontId="12" fillId="2" borderId="31" applyAlignment="1" pivotButton="0" quotePrefix="0" xfId="0">
      <alignment horizontal="center" vertical="center" wrapText="1"/>
    </xf>
    <xf numFmtId="0" fontId="2" fillId="0" borderId="66" applyAlignment="1" pivotButton="0" quotePrefix="0" xfId="0">
      <alignment horizontal="center" vertical="center" wrapText="1"/>
    </xf>
    <xf numFmtId="0" fontId="2" fillId="0" borderId="103" applyAlignment="1" pivotButton="0" quotePrefix="0" xfId="0">
      <alignment horizontal="center" vertical="center" wrapText="1"/>
    </xf>
    <xf numFmtId="0" fontId="2" fillId="0" borderId="126" applyAlignment="1" pivotButton="0" quotePrefix="0" xfId="0">
      <alignment horizontal="center" vertical="center" wrapText="1"/>
    </xf>
    <xf numFmtId="49" fontId="2" fillId="0" borderId="29" applyAlignment="1" pivotButton="0" quotePrefix="0" xfId="0">
      <alignment horizontal="center" vertical="center" shrinkToFit="1"/>
    </xf>
    <xf numFmtId="0" fontId="12" fillId="0" borderId="104" applyAlignment="1" pivotButton="0" quotePrefix="0" xfId="0">
      <alignment horizontal="center" vertical="center" wrapText="1"/>
    </xf>
    <xf numFmtId="49" fontId="12" fillId="0" borderId="43" applyAlignment="1" pivotButton="0" quotePrefix="0" xfId="0">
      <alignment horizontal="center" vertical="center" wrapText="1"/>
    </xf>
    <xf numFmtId="0" fontId="2" fillId="0" borderId="43" applyAlignment="1" pivotButton="0" quotePrefix="0" xfId="0">
      <alignment horizontal="center" vertical="center" shrinkToFit="1"/>
    </xf>
    <xf numFmtId="0" fontId="2" fillId="2" borderId="43" applyAlignment="1" pivotButton="0" quotePrefix="0" xfId="0">
      <alignment horizontal="center" vertical="center" wrapText="1"/>
    </xf>
    <xf numFmtId="0" fontId="12" fillId="2" borderId="127" applyAlignment="1" pivotButton="0" quotePrefix="0" xfId="0">
      <alignment horizontal="center" vertical="center" wrapText="1"/>
    </xf>
    <xf numFmtId="0" fontId="12" fillId="2" borderId="68" applyAlignment="1" pivotButton="0" quotePrefix="0" xfId="0">
      <alignment horizontal="center" vertical="center" wrapText="1"/>
    </xf>
    <xf numFmtId="0" fontId="12" fillId="0" borderId="76" applyAlignment="1" pivotButton="0" quotePrefix="0" xfId="0">
      <alignment horizontal="center" vertical="center" wrapText="1"/>
    </xf>
    <xf numFmtId="0" fontId="12" fillId="2" borderId="63" applyAlignment="1" pivotButton="0" quotePrefix="0" xfId="0">
      <alignment horizontal="center" vertical="center" wrapText="1"/>
    </xf>
    <xf numFmtId="0" fontId="12" fillId="0" borderId="69" applyAlignment="1" pivotButton="0" quotePrefix="0" xfId="0">
      <alignment horizontal="center" vertical="center" wrapText="1"/>
    </xf>
    <xf numFmtId="0" fontId="13" fillId="0" borderId="21" applyAlignment="1" pivotButton="0" quotePrefix="0" xfId="0">
      <alignment horizontal="center" vertical="center" wrapText="1"/>
    </xf>
    <xf numFmtId="0" fontId="12" fillId="2" borderId="24" applyAlignment="1" pivotButton="0" quotePrefix="0" xfId="0">
      <alignment horizontal="center" vertical="center" wrapText="1"/>
    </xf>
    <xf numFmtId="0" fontId="12" fillId="0" borderId="61" applyAlignment="1" pivotButton="0" quotePrefix="0" xfId="0">
      <alignment horizontal="center" vertical="center" wrapText="1"/>
    </xf>
    <xf numFmtId="0" fontId="12" fillId="0" borderId="46" applyAlignment="1" pivotButton="0" quotePrefix="0" xfId="0">
      <alignment horizontal="center" vertical="center" wrapText="1"/>
    </xf>
    <xf numFmtId="0" fontId="12" fillId="0" borderId="52" applyAlignment="1" pivotButton="0" quotePrefix="0" xfId="0">
      <alignment horizontal="center" vertical="center" wrapText="1"/>
    </xf>
    <xf numFmtId="0" fontId="12" fillId="2" borderId="50" applyAlignment="1" pivotButton="0" quotePrefix="0" xfId="0">
      <alignment horizontal="center" vertical="center" wrapText="1"/>
    </xf>
    <xf numFmtId="0" fontId="12" fillId="2" borderId="61" applyAlignment="1" pivotButton="0" quotePrefix="0" xfId="0">
      <alignment horizontal="center" vertical="center" wrapText="1"/>
    </xf>
    <xf numFmtId="0" fontId="12" fillId="2" borderId="33" applyAlignment="1" pivotButton="0" quotePrefix="0" xfId="0">
      <alignment horizontal="center" vertical="center" wrapText="1"/>
    </xf>
    <xf numFmtId="0" fontId="12" fillId="2" borderId="32" applyAlignment="1" pivotButton="0" quotePrefix="1" xfId="0">
      <alignment horizontal="center" vertical="center" wrapText="1"/>
    </xf>
    <xf numFmtId="0" fontId="9" fillId="2" borderId="33" applyAlignment="1" pivotButton="0" quotePrefix="0" xfId="0">
      <alignment horizontal="center" vertical="center" wrapText="1"/>
    </xf>
    <xf numFmtId="0" fontId="9" fillId="2" borderId="55" applyAlignment="1" pivotButton="0" quotePrefix="0" xfId="0">
      <alignment horizontal="center" vertical="center" wrapText="1"/>
    </xf>
    <xf numFmtId="0" fontId="9" fillId="2" borderId="54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0" borderId="57" applyAlignment="1" pivotButton="0" quotePrefix="1" xfId="0">
      <alignment horizontal="center" vertical="center" wrapText="1"/>
    </xf>
    <xf numFmtId="0" fontId="12" fillId="2" borderId="89" applyAlignment="1" pivotButton="0" quotePrefix="0" xfId="0">
      <alignment horizontal="center" vertical="center" wrapText="1"/>
    </xf>
    <xf numFmtId="0" fontId="2" fillId="0" borderId="34" applyAlignment="1" pivotButton="0" quotePrefix="0" xfId="0">
      <alignment horizontal="center" vertical="center" shrinkToFit="1"/>
    </xf>
    <xf numFmtId="0" fontId="2" fillId="2" borderId="34" applyAlignment="1" pivotButton="0" quotePrefix="0" xfId="0">
      <alignment horizontal="center" vertical="center" wrapText="1"/>
    </xf>
    <xf numFmtId="0" fontId="12" fillId="2" borderId="32" applyAlignment="1" pivotButton="0" quotePrefix="0" xfId="0">
      <alignment horizontal="center" vertical="center" wrapText="1"/>
    </xf>
    <xf numFmtId="0" fontId="12" fillId="0" borderId="103" applyAlignment="1" pivotButton="0" quotePrefix="0" xfId="0">
      <alignment horizontal="center" vertical="center" wrapText="1"/>
    </xf>
    <xf numFmtId="0" fontId="12" fillId="2" borderId="99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 wrapText="1"/>
    </xf>
    <xf numFmtId="0" fontId="12" fillId="0" borderId="32" applyAlignment="1" pivotButton="0" quotePrefix="0" xfId="0">
      <alignment horizontal="center" vertical="center" wrapText="1"/>
    </xf>
    <xf numFmtId="49" fontId="2" fillId="0" borderId="34" applyAlignment="1" pivotButton="0" quotePrefix="0" xfId="0">
      <alignment horizontal="center" vertical="center" shrinkToFit="1"/>
    </xf>
    <xf numFmtId="0" fontId="13" fillId="0" borderId="2" applyAlignment="1" pivotButton="0" quotePrefix="0" xfId="0">
      <alignment horizontal="center" vertical="center" wrapText="1"/>
    </xf>
    <xf numFmtId="0" fontId="2" fillId="2" borderId="128" applyAlignment="1" pivotButton="0" quotePrefix="0" xfId="0">
      <alignment horizontal="center" vertical="center" wrapText="1"/>
    </xf>
    <xf numFmtId="0" fontId="12" fillId="2" borderId="128" applyAlignment="1" pivotButton="0" quotePrefix="0" xfId="0">
      <alignment horizontal="center" vertical="center" wrapText="1"/>
    </xf>
    <xf numFmtId="0" fontId="12" fillId="0" borderId="68" applyAlignment="1" pivotButton="0" quotePrefix="0" xfId="0">
      <alignment horizontal="center" vertical="center" wrapText="1"/>
    </xf>
    <xf numFmtId="49" fontId="2" fillId="0" borderId="62" applyAlignment="1" pivotButton="0" quotePrefix="0" xfId="0">
      <alignment horizontal="center" vertical="center" shrinkToFit="1"/>
    </xf>
    <xf numFmtId="0" fontId="13" fillId="0" borderId="78" applyAlignment="1" pivotButton="0" quotePrefix="0" xfId="0">
      <alignment horizontal="center" vertical="center" wrapText="1"/>
    </xf>
    <xf numFmtId="49" fontId="12" fillId="0" borderId="29" applyAlignment="1" pivotButton="0" quotePrefix="0" xfId="0">
      <alignment horizontal="center" vertical="center" wrapText="1"/>
    </xf>
    <xf numFmtId="0" fontId="2" fillId="2" borderId="126" applyAlignment="1" pivotButton="0" quotePrefix="0" xfId="0">
      <alignment horizontal="center" vertical="center" wrapText="1"/>
    </xf>
    <xf numFmtId="0" fontId="2" fillId="2" borderId="129" applyAlignment="1" pivotButton="0" quotePrefix="0" xfId="0">
      <alignment horizontal="center" vertical="center" wrapText="1"/>
    </xf>
    <xf numFmtId="0" fontId="12" fillId="2" borderId="67" applyAlignment="1" pivotButton="0" quotePrefix="0" xfId="0">
      <alignment horizontal="center" vertical="center" wrapText="1"/>
    </xf>
    <xf numFmtId="0" fontId="12" fillId="2" borderId="66" applyAlignment="1" pivotButton="0" quotePrefix="0" xfId="0">
      <alignment horizontal="center" vertical="center" wrapText="1"/>
    </xf>
    <xf numFmtId="0" fontId="12" fillId="2" borderId="129" applyAlignment="1" pivotButton="0" quotePrefix="0" xfId="0">
      <alignment horizontal="center" vertical="center" wrapText="1"/>
    </xf>
    <xf numFmtId="0" fontId="12" fillId="0" borderId="66" applyAlignment="1" pivotButton="0" quotePrefix="0" xfId="0">
      <alignment horizontal="center" vertical="center" wrapText="1"/>
    </xf>
    <xf numFmtId="49" fontId="2" fillId="0" borderId="126" applyAlignment="1" pivotButton="0" quotePrefix="0" xfId="0">
      <alignment horizontal="center" vertical="center" wrapText="1"/>
    </xf>
    <xf numFmtId="0" fontId="12" fillId="6" borderId="70" applyAlignment="1" pivotButton="0" quotePrefix="0" xfId="0">
      <alignment horizontal="center" vertical="center" wrapText="1"/>
    </xf>
    <xf numFmtId="0" fontId="12" fillId="0" borderId="84" applyAlignment="1" pivotButton="0" quotePrefix="0" xfId="0">
      <alignment horizontal="center" vertical="center" wrapText="1"/>
    </xf>
    <xf numFmtId="49" fontId="12" fillId="0" borderId="83" applyAlignment="1" pivotButton="0" quotePrefix="0" xfId="0">
      <alignment horizontal="center" vertical="center" wrapText="1"/>
    </xf>
    <xf numFmtId="0" fontId="2" fillId="0" borderId="83" applyAlignment="1" pivotButton="0" quotePrefix="0" xfId="0">
      <alignment horizontal="center" vertical="center" shrinkToFit="1"/>
    </xf>
    <xf numFmtId="0" fontId="2" fillId="2" borderId="83" applyAlignment="1" pivotButton="0" quotePrefix="0" xfId="0">
      <alignment horizontal="center" vertical="center" wrapText="1"/>
    </xf>
    <xf numFmtId="0" fontId="2" fillId="2" borderId="95" applyAlignment="1" pivotButton="0" quotePrefix="0" xfId="0">
      <alignment horizontal="center" vertical="center" wrapText="1"/>
    </xf>
    <xf numFmtId="0" fontId="12" fillId="2" borderId="26" applyAlignment="1" pivotButton="0" quotePrefix="0" xfId="0">
      <alignment horizontal="center" vertical="center" wrapText="1"/>
    </xf>
    <xf numFmtId="0" fontId="12" fillId="2" borderId="130" applyAlignment="1" pivotButton="0" quotePrefix="0" xfId="0">
      <alignment horizontal="center" vertical="center" wrapText="1"/>
    </xf>
    <xf numFmtId="0" fontId="12" fillId="0" borderId="131" applyAlignment="1" pivotButton="0" quotePrefix="0" xfId="0">
      <alignment horizontal="center" vertical="center" wrapText="1"/>
    </xf>
    <xf numFmtId="0" fontId="12" fillId="0" borderId="96" applyAlignment="1" pivotButton="0" quotePrefix="0" xfId="0">
      <alignment horizontal="center" vertical="center" wrapText="1"/>
    </xf>
    <xf numFmtId="0" fontId="12" fillId="0" borderId="130" applyAlignment="1" pivotButton="0" quotePrefix="0" xfId="0">
      <alignment horizontal="center" vertical="center" wrapText="1"/>
    </xf>
    <xf numFmtId="49" fontId="12" fillId="0" borderId="83" applyAlignment="1" pivotButton="0" quotePrefix="0" xfId="0">
      <alignment horizontal="center" vertical="center" shrinkToFit="1"/>
    </xf>
    <xf numFmtId="49" fontId="2" fillId="0" borderId="83" applyAlignment="1" pivotButton="0" quotePrefix="0" xfId="0">
      <alignment horizontal="center" vertical="center" wrapText="1"/>
    </xf>
    <xf numFmtId="0" fontId="12" fillId="0" borderId="79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 wrapText="1"/>
    </xf>
    <xf numFmtId="0" fontId="12" fillId="0" borderId="22" applyAlignment="1" pivotButton="0" quotePrefix="0" xfId="0">
      <alignment horizontal="center" vertical="center" wrapText="1"/>
    </xf>
    <xf numFmtId="49" fontId="12" fillId="0" borderId="27" applyAlignment="1" pivotButton="0" quotePrefix="0" xfId="0">
      <alignment horizontal="center" vertical="center" wrapText="1"/>
    </xf>
    <xf numFmtId="0" fontId="12" fillId="2" borderId="73" applyAlignment="1" pivotButton="0" quotePrefix="0" xfId="0">
      <alignment horizontal="center" vertical="center" wrapText="1"/>
    </xf>
    <xf numFmtId="0" fontId="12" fillId="2" borderId="89" applyAlignment="1" pivotButton="0" quotePrefix="0" xfId="0">
      <alignment horizontal="center" vertical="center" wrapText="1"/>
    </xf>
    <xf numFmtId="0" fontId="12" fillId="0" borderId="90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 wrapText="1"/>
    </xf>
    <xf numFmtId="0" fontId="12" fillId="2" borderId="53" applyAlignment="1" pivotButton="0" quotePrefix="0" xfId="0">
      <alignment horizontal="center" vertical="center" wrapText="1"/>
    </xf>
    <xf numFmtId="0" fontId="12" fillId="2" borderId="52" applyAlignment="1" pivotButton="0" quotePrefix="0" xfId="0">
      <alignment horizontal="center" vertical="center" wrapText="1"/>
    </xf>
    <xf numFmtId="0" fontId="12" fillId="0" borderId="50" applyAlignment="1" pivotButton="0" quotePrefix="1" xfId="0">
      <alignment horizontal="center" vertical="center" wrapText="1"/>
    </xf>
    <xf numFmtId="0" fontId="12" fillId="0" borderId="61" applyAlignment="1" pivotButton="0" quotePrefix="1" xfId="0">
      <alignment horizontal="center" vertical="center" wrapText="1"/>
    </xf>
    <xf numFmtId="0" fontId="12" fillId="0" borderId="56" applyAlignment="1" pivotButton="0" quotePrefix="1" xfId="0">
      <alignment horizontal="center" vertical="center" wrapText="1"/>
    </xf>
    <xf numFmtId="0" fontId="12" fillId="0" borderId="56" applyAlignment="1" pivotButton="0" quotePrefix="0" xfId="0">
      <alignment horizontal="center" vertical="center" wrapText="1"/>
    </xf>
    <xf numFmtId="0" fontId="12" fillId="2" borderId="48" applyAlignment="1" pivotButton="0" quotePrefix="1" xfId="0">
      <alignment horizontal="center" vertical="center" wrapText="1"/>
    </xf>
    <xf numFmtId="0" fontId="12" fillId="0" borderId="31" applyAlignment="1" pivotButton="0" quotePrefix="0" xfId="0">
      <alignment horizontal="center" vertical="center" wrapText="1"/>
    </xf>
    <xf numFmtId="0" fontId="12" fillId="0" borderId="126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2" fillId="2" borderId="62" applyAlignment="1" pivotButton="0" quotePrefix="0" xfId="0">
      <alignment horizontal="center" vertical="center" wrapText="1"/>
    </xf>
    <xf numFmtId="0" fontId="12" fillId="2" borderId="132" applyAlignment="1" pivotButton="0" quotePrefix="0" xfId="0">
      <alignment horizontal="center" vertical="center" wrapText="1"/>
    </xf>
    <xf numFmtId="0" fontId="12" fillId="0" borderId="127" applyAlignment="1" pivotButton="0" quotePrefix="0" xfId="0">
      <alignment horizontal="center" vertical="center" wrapText="1"/>
    </xf>
    <xf numFmtId="49" fontId="2" fillId="0" borderId="6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 wrapText="1"/>
    </xf>
    <xf numFmtId="0" fontId="3" fillId="0" borderId="19" applyAlignment="1" pivotButton="0" quotePrefix="0" xfId="0">
      <alignment horizontal="center" vertical="center" wrapText="1"/>
    </xf>
    <xf numFmtId="0" fontId="12" fillId="0" borderId="133" applyAlignment="1" pivotButton="0" quotePrefix="0" xfId="0">
      <alignment horizontal="center" vertical="center" wrapText="1"/>
    </xf>
    <xf numFmtId="0" fontId="12" fillId="0" borderId="85" applyAlignment="1" pivotButton="0" quotePrefix="0" xfId="0">
      <alignment horizontal="center" vertical="center" wrapText="1"/>
    </xf>
    <xf numFmtId="0" fontId="12" fillId="0" borderId="134" applyAlignment="1" pivotButton="0" quotePrefix="0" xfId="0">
      <alignment horizontal="center" vertical="center" wrapText="1"/>
    </xf>
    <xf numFmtId="0" fontId="12" fillId="0" borderId="135" applyAlignment="1" pivotButton="0" quotePrefix="0" xfId="0">
      <alignment horizontal="center" vertical="center" wrapText="1"/>
    </xf>
    <xf numFmtId="0" fontId="12" fillId="0" borderId="136" applyAlignment="1" pivotButton="0" quotePrefix="0" xfId="0">
      <alignment horizontal="center" vertical="center" wrapText="1"/>
    </xf>
    <xf numFmtId="0" fontId="12" fillId="0" borderId="111" applyAlignment="1" pivotButton="0" quotePrefix="0" xfId="0">
      <alignment horizontal="center" vertical="center" wrapText="1"/>
    </xf>
    <xf numFmtId="0" fontId="12" fillId="0" borderId="120" applyAlignment="1" pivotButton="0" quotePrefix="0" xfId="0">
      <alignment horizontal="center" vertical="center" wrapText="1"/>
    </xf>
    <xf numFmtId="0" fontId="12" fillId="0" borderId="137" applyAlignment="1" pivotButton="0" quotePrefix="0" xfId="0">
      <alignment horizontal="center" vertical="center" wrapText="1"/>
    </xf>
    <xf numFmtId="0" fontId="12" fillId="2" borderId="138" applyAlignment="1" pivotButton="0" quotePrefix="0" xfId="0">
      <alignment horizontal="center" vertical="center" wrapText="1"/>
    </xf>
    <xf numFmtId="0" fontId="12" fillId="2" borderId="135" applyAlignment="1" pivotButton="0" quotePrefix="0" xfId="0">
      <alignment horizontal="center" vertical="center" wrapText="1"/>
    </xf>
    <xf numFmtId="0" fontId="12" fillId="2" borderId="111" applyAlignment="1" pivotButton="0" quotePrefix="0" xfId="0">
      <alignment horizontal="center" vertical="center" wrapText="1"/>
    </xf>
    <xf numFmtId="0" fontId="12" fillId="0" borderId="125" applyAlignment="1" pivotButton="0" quotePrefix="1" xfId="0">
      <alignment horizontal="center" vertical="center" wrapText="1"/>
    </xf>
    <xf numFmtId="0" fontId="12" fillId="0" borderId="35" applyAlignment="1" pivotButton="0" quotePrefix="0" xfId="0">
      <alignment horizontal="center" vertical="center" wrapText="1"/>
    </xf>
    <xf numFmtId="0" fontId="2" fillId="2" borderId="54" applyAlignment="1" pivotButton="0" quotePrefix="0" xfId="0">
      <alignment horizontal="center" vertical="center" wrapText="1"/>
    </xf>
    <xf numFmtId="0" fontId="12" fillId="0" borderId="139" applyAlignment="1" pivotButton="0" quotePrefix="0" xfId="0">
      <alignment horizontal="center" vertical="center" wrapText="1"/>
    </xf>
    <xf numFmtId="0" fontId="12" fillId="0" borderId="30" applyAlignment="1" pivotButton="0" quotePrefix="0" xfId="0">
      <alignment horizontal="center" vertical="center" wrapText="1"/>
    </xf>
    <xf numFmtId="49" fontId="2" fillId="0" borderId="56" applyAlignment="1" pivotButton="0" quotePrefix="0" xfId="0">
      <alignment horizontal="center" vertical="center" shrinkToFit="1"/>
    </xf>
    <xf numFmtId="0" fontId="3" fillId="0" borderId="3" applyAlignment="1" pivotButton="0" quotePrefix="0" xfId="0">
      <alignment horizontal="center" vertical="center" wrapText="1"/>
    </xf>
    <xf numFmtId="0" fontId="3" fillId="0" borderId="70" applyAlignment="1" pivotButton="0" quotePrefix="0" xfId="0">
      <alignment horizontal="center" vertical="center" wrapText="1"/>
    </xf>
    <xf numFmtId="0" fontId="12" fillId="0" borderId="94" applyAlignment="1" pivotButton="0" quotePrefix="0" xfId="0">
      <alignment horizontal="center" vertical="center" wrapText="1"/>
    </xf>
    <xf numFmtId="0" fontId="12" fillId="0" borderId="95" applyAlignment="1" pivotButton="0" quotePrefix="0" xfId="0">
      <alignment horizontal="center" vertical="center" wrapText="1"/>
    </xf>
    <xf numFmtId="0" fontId="12" fillId="0" borderId="96" applyAlignment="1" pivotButton="0" quotePrefix="0" xfId="0">
      <alignment horizontal="center" vertical="center" wrapText="1"/>
    </xf>
    <xf numFmtId="0" fontId="11" fillId="0" borderId="83" applyAlignment="1" pivotButton="0" quotePrefix="0" xfId="0">
      <alignment horizontal="center" vertical="center" wrapText="1"/>
    </xf>
    <xf numFmtId="0" fontId="14" fillId="0" borderId="131" applyAlignment="1" pivotButton="0" quotePrefix="0" xfId="0">
      <alignment horizontal="center" vertical="center" wrapText="1"/>
    </xf>
    <xf numFmtId="0" fontId="14" fillId="0" borderId="130" applyAlignment="1" pivotButton="0" quotePrefix="0" xfId="0">
      <alignment horizontal="center" vertical="center" wrapText="1"/>
    </xf>
    <xf numFmtId="0" fontId="12" fillId="0" borderId="101" applyAlignment="1" pivotButton="0" quotePrefix="0" xfId="0">
      <alignment horizontal="center" vertical="center" wrapText="1"/>
    </xf>
    <xf numFmtId="0" fontId="12" fillId="0" borderId="83" applyAlignment="1" pivotButton="0" quotePrefix="0" xfId="0">
      <alignment horizontal="center" vertical="center" wrapText="1"/>
    </xf>
    <xf numFmtId="0" fontId="12" fillId="0" borderId="73" applyAlignment="1" pivotButton="0" quotePrefix="0" xfId="0">
      <alignment horizontal="center" vertical="center" wrapText="1"/>
    </xf>
    <xf numFmtId="0" fontId="12" fillId="0" borderId="72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20" applyAlignment="1" pivotButton="0" quotePrefix="0" xfId="0">
      <alignment horizontal="center" vertical="center" wrapText="1"/>
    </xf>
    <xf numFmtId="0" fontId="12" fillId="0" borderId="22" applyAlignment="1" pivotButton="0" quotePrefix="0" xfId="0">
      <alignment horizontal="center" vertical="center" wrapText="1"/>
    </xf>
    <xf numFmtId="0" fontId="12" fillId="0" borderId="19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 wrapText="1"/>
    </xf>
    <xf numFmtId="0" fontId="12" fillId="4" borderId="12" applyAlignment="1" pivotButton="0" quotePrefix="0" xfId="0">
      <alignment horizontal="center" vertical="center" wrapText="1"/>
    </xf>
    <xf numFmtId="0" fontId="12" fillId="4" borderId="7" applyAlignment="1" pivotButton="0" quotePrefix="0" xfId="0">
      <alignment horizontal="center" vertical="center" wrapText="1"/>
    </xf>
    <xf numFmtId="0" fontId="12" fillId="0" borderId="140" applyAlignment="1" pivotButton="0" quotePrefix="0" xfId="0">
      <alignment horizontal="center" vertical="center" wrapText="1"/>
    </xf>
    <xf numFmtId="0" fontId="12" fillId="0" borderId="116" applyAlignment="1" pivotButton="0" quotePrefix="0" xfId="0">
      <alignment horizontal="center" vertical="center" wrapText="1"/>
    </xf>
    <xf numFmtId="0" fontId="12" fillId="0" borderId="115" applyAlignment="1" pivotButton="0" quotePrefix="0" xfId="0">
      <alignment horizontal="center" vertical="center" wrapText="1"/>
    </xf>
    <xf numFmtId="0" fontId="12" fillId="0" borderId="97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98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49" fontId="2" fillId="0" borderId="126" applyAlignment="1" pivotButton="0" quotePrefix="0" xfId="0">
      <alignment horizontal="center" vertical="center" shrinkToFit="1"/>
    </xf>
    <xf numFmtId="0" fontId="12" fillId="0" borderId="85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 wrapText="1"/>
    </xf>
    <xf numFmtId="0" fontId="11" fillId="0" borderId="27" applyAlignment="1" pivotButton="0" quotePrefix="0" xfId="0">
      <alignment horizontal="center" vertical="center" wrapText="1"/>
    </xf>
    <xf numFmtId="0" fontId="14" fillId="0" borderId="90" applyAlignment="1" pivotButton="0" quotePrefix="0" xfId="0">
      <alignment horizontal="center" vertical="center" wrapText="1"/>
    </xf>
    <xf numFmtId="0" fontId="14" fillId="0" borderId="89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0" fontId="12" fillId="0" borderId="26" applyAlignment="1" pivotButton="0" quotePrefix="0" xfId="0">
      <alignment horizontal="center" vertical="center" wrapText="1"/>
    </xf>
    <xf numFmtId="0" fontId="12" fillId="0" borderId="14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/>
    </xf>
    <xf numFmtId="0" fontId="5" fillId="0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9" fillId="5" borderId="91" applyAlignment="1" pivotButton="0" quotePrefix="0" xfId="0">
      <alignment horizontal="left" vertical="top" wrapText="1"/>
    </xf>
    <xf numFmtId="0" fontId="0" fillId="0" borderId="28" applyAlignment="1" pivotButton="0" quotePrefix="0" xfId="0">
      <alignment horizontal="left" vertical="top"/>
    </xf>
    <xf numFmtId="0" fontId="0" fillId="0" borderId="92" applyAlignment="1" pivotButton="0" quotePrefix="0" xfId="0">
      <alignment horizontal="left" vertical="top"/>
    </xf>
    <xf numFmtId="0" fontId="0" fillId="0" borderId="25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0" fillId="0" borderId="93" applyAlignment="1" pivotButton="0" quotePrefix="0" xfId="0">
      <alignment horizontal="left" vertical="top"/>
    </xf>
    <xf numFmtId="0" fontId="0" fillId="0" borderId="6" applyAlignment="1" pivotButton="0" quotePrefix="0" xfId="0">
      <alignment horizontal="left" vertical="top"/>
    </xf>
    <xf numFmtId="0" fontId="0" fillId="0" borderId="5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/>
    </xf>
    <xf numFmtId="0" fontId="9" fillId="5" borderId="142" applyAlignment="1" pivotButton="0" quotePrefix="0" xfId="0">
      <alignment horizontal="left" vertical="top" wrapText="1"/>
    </xf>
    <xf numFmtId="0" fontId="0" fillId="0" borderId="28" pivotButton="0" quotePrefix="0" xfId="0"/>
    <xf numFmtId="0" fontId="0" fillId="0" borderId="92" pivotButton="0" quotePrefix="0" xfId="0"/>
    <xf numFmtId="0" fontId="0" fillId="0" borderId="93" pivotButton="0" quotePrefix="0" xfId="0"/>
    <xf numFmtId="0" fontId="0" fillId="0" borderId="6" pivotButton="0" quotePrefix="0" xfId="0"/>
    <xf numFmtId="0" fontId="0" fillId="0" borderId="1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6"/>
  <sheetViews>
    <sheetView tabSelected="1" topLeftCell="A98" workbookViewId="0">
      <selection activeCell="A112" sqref="A112:P116"/>
    </sheetView>
  </sheetViews>
  <sheetFormatPr baseColWidth="8" defaultRowHeight="17.4"/>
  <cols>
    <col width="18.59765625" customWidth="1" min="1" max="1"/>
  </cols>
  <sheetData>
    <row r="1" ht="27" customHeight="1">
      <c r="A1" s="672" t="inlineStr">
        <is>
          <t>장충고등학교 교육과정 학점 배당표</t>
        </is>
      </c>
      <c r="H1" s="672" t="n"/>
      <c r="I1" s="672" t="n"/>
      <c r="J1" s="672" t="n"/>
      <c r="K1" s="672" t="n"/>
      <c r="L1" s="672" t="n"/>
      <c r="M1" s="672" t="n"/>
      <c r="N1" s="672" t="n"/>
      <c r="O1" s="672" t="n"/>
      <c r="P1" s="672" t="n"/>
    </row>
    <row r="2" ht="21" customHeight="1" thickBot="1">
      <c r="A2" s="675" t="inlineStr">
        <is>
          <t>2026학년도 입학(2022 개정 교육과정 적용)</t>
        </is>
      </c>
      <c r="B2" s="676" t="n"/>
      <c r="C2" s="676" t="n"/>
      <c r="D2" s="676" t="n"/>
      <c r="E2" s="676" t="n"/>
      <c r="F2" s="676" t="n"/>
      <c r="G2" s="676" t="n"/>
      <c r="H2" s="313" t="n"/>
      <c r="I2" s="313" t="n"/>
      <c r="J2" s="313" t="n"/>
      <c r="K2" s="314" t="n"/>
      <c r="L2" s="314" t="n"/>
      <c r="M2" s="315" t="n"/>
      <c r="N2" s="315" t="n"/>
      <c r="O2" s="315" t="n"/>
      <c r="P2" s="315" t="n"/>
    </row>
    <row r="3" ht="46.8" customHeight="1">
      <c r="A3" s="316" t="inlineStr">
        <is>
          <t>구분</t>
        </is>
      </c>
      <c r="B3" s="317" t="inlineStr">
        <is>
          <t>교과(군)</t>
        </is>
      </c>
      <c r="C3" s="318" t="inlineStr">
        <is>
          <t>과목 
유형</t>
        </is>
      </c>
      <c r="D3" s="318" t="inlineStr">
        <is>
          <t>과목</t>
        </is>
      </c>
      <c r="E3" s="318" t="inlineStr">
        <is>
          <t>기본
학점</t>
        </is>
      </c>
      <c r="F3" s="318" t="inlineStr">
        <is>
          <t>운영
학점</t>
        </is>
      </c>
      <c r="G3" s="319" t="inlineStr">
        <is>
          <t>1학년</t>
        </is>
      </c>
      <c r="H3" s="320" t="n"/>
      <c r="I3" s="319" t="inlineStr">
        <is>
          <t>2학년</t>
        </is>
      </c>
      <c r="J3" s="320" t="n"/>
      <c r="K3" s="319" t="inlineStr">
        <is>
          <t>3학년</t>
        </is>
      </c>
      <c r="L3" s="320" t="n"/>
      <c r="M3" s="318" t="inlineStr">
        <is>
          <t>비고</t>
        </is>
      </c>
      <c r="N3" s="321" t="inlineStr">
        <is>
          <t>과목 개설 유형</t>
        </is>
      </c>
      <c r="O3" s="318" t="inlineStr">
        <is>
          <t>이수
학점</t>
        </is>
      </c>
      <c r="P3" s="322" t="inlineStr">
        <is>
          <t>필수
이수
학점</t>
        </is>
      </c>
    </row>
    <row r="4" ht="15.6" customHeight="1">
      <c r="A4" s="337" t="n"/>
      <c r="B4" s="338" t="n"/>
      <c r="C4" s="347" t="n"/>
      <c r="D4" s="347" t="n"/>
      <c r="E4" s="347" t="n"/>
      <c r="F4" s="347" t="n"/>
      <c r="G4" s="326" t="inlineStr">
        <is>
          <t>1학기</t>
        </is>
      </c>
      <c r="H4" s="327" t="inlineStr">
        <is>
          <t>2학기</t>
        </is>
      </c>
      <c r="I4" s="326" t="inlineStr">
        <is>
          <t>1학기</t>
        </is>
      </c>
      <c r="J4" s="327" t="inlineStr">
        <is>
          <t>2학기</t>
        </is>
      </c>
      <c r="K4" s="326" t="inlineStr">
        <is>
          <t>1학기</t>
        </is>
      </c>
      <c r="L4" s="327" t="inlineStr">
        <is>
          <t>2학기</t>
        </is>
      </c>
      <c r="M4" s="347" t="n"/>
      <c r="N4" s="328" t="n"/>
      <c r="O4" s="347" t="n"/>
      <c r="P4" s="348" t="n"/>
    </row>
    <row r="5" ht="15.6" customHeight="1">
      <c r="A5" s="330" t="n"/>
      <c r="B5" s="331" t="n"/>
      <c r="C5" s="332" t="n"/>
      <c r="D5" s="332" t="n"/>
      <c r="E5" s="332" t="n"/>
      <c r="F5" s="332" t="n"/>
      <c r="G5" s="333" t="n"/>
      <c r="H5" s="334" t="n"/>
      <c r="I5" s="333" t="n"/>
      <c r="J5" s="334" t="n"/>
      <c r="K5" s="333" t="n"/>
      <c r="L5" s="334" t="n"/>
      <c r="M5" s="332" t="n"/>
      <c r="N5" s="335" t="n"/>
      <c r="O5" s="332" t="n"/>
      <c r="P5" s="336" t="n"/>
    </row>
    <row r="6" ht="15.6" customHeight="1">
      <c r="A6" s="337" t="n"/>
      <c r="B6" s="338" t="n"/>
      <c r="C6" s="339" t="n"/>
      <c r="D6" s="340" t="n"/>
      <c r="G6" s="341" t="n"/>
      <c r="H6" s="342" t="n"/>
      <c r="I6" s="343" t="n"/>
      <c r="J6" s="342" t="n"/>
      <c r="K6" s="343" t="n"/>
      <c r="L6" s="344" t="n"/>
      <c r="M6" s="345" t="n"/>
      <c r="N6" s="346" t="n"/>
      <c r="O6" s="347" t="n"/>
      <c r="P6" s="348" t="n"/>
    </row>
    <row r="7" ht="15.6" customHeight="1">
      <c r="A7" s="349" t="inlineStr">
        <is>
          <t>학교지정</t>
        </is>
      </c>
      <c r="B7" s="529" t="inlineStr">
        <is>
          <t>국 어</t>
        </is>
      </c>
      <c r="C7" s="351" t="inlineStr">
        <is>
          <t>공통</t>
        </is>
      </c>
      <c r="D7" s="352" t="inlineStr">
        <is>
          <t>공통국어1</t>
        </is>
      </c>
      <c r="E7" s="353">
        <f>IFERROR(VLOOKUP(D7, 기본학점, 2, FALSE), "")</f>
        <v/>
      </c>
      <c r="F7" s="354" t="n">
        <v>4</v>
      </c>
      <c r="G7" s="355" t="n">
        <v>4</v>
      </c>
      <c r="H7" s="356" t="n"/>
      <c r="I7" s="357" t="n"/>
      <c r="J7" s="358" t="n"/>
      <c r="K7" s="357" t="n"/>
      <c r="L7" s="359" t="n"/>
      <c r="M7" s="360" t="n"/>
      <c r="N7" s="361" t="n"/>
      <c r="O7" s="362">
        <f>SUM(F7:F11)</f>
        <v/>
      </c>
      <c r="P7" s="363" t="n">
        <v>8</v>
      </c>
    </row>
    <row r="8" ht="15.6" customHeight="1">
      <c r="A8" s="364" t="n"/>
      <c r="B8" s="365" t="n"/>
      <c r="C8" s="366" t="inlineStr">
        <is>
          <t>공통</t>
        </is>
      </c>
      <c r="D8" s="367" t="inlineStr">
        <is>
          <t>공통국어2</t>
        </is>
      </c>
      <c r="E8" s="368">
        <f>IFERROR(VLOOKUP(D8, 기본학점, 2, FALSE), "")</f>
        <v/>
      </c>
      <c r="F8" s="369" t="n">
        <v>4</v>
      </c>
      <c r="G8" s="370" t="n"/>
      <c r="H8" s="371" t="n">
        <v>4</v>
      </c>
      <c r="I8" s="372" t="n"/>
      <c r="J8" s="373" t="n"/>
      <c r="K8" s="372" t="n"/>
      <c r="L8" s="374" t="n"/>
      <c r="M8" s="375" t="n"/>
      <c r="N8" s="361" t="n"/>
      <c r="O8" s="212" t="n"/>
      <c r="P8" s="647" t="n"/>
    </row>
    <row r="9" ht="15.6" customHeight="1">
      <c r="A9" s="364" t="n"/>
      <c r="B9" s="365" t="n"/>
      <c r="C9" s="366" t="inlineStr">
        <is>
          <t>일반</t>
        </is>
      </c>
      <c r="D9" s="367" t="inlineStr">
        <is>
          <t>문학</t>
        </is>
      </c>
      <c r="E9" s="368">
        <f>IFERROR(VLOOKUP(D9, 기본학점, 2, FALSE), "")</f>
        <v/>
      </c>
      <c r="F9" s="369" t="n">
        <v>4</v>
      </c>
      <c r="G9" s="370" t="n"/>
      <c r="H9" s="371" t="n"/>
      <c r="I9" s="372" t="n">
        <v>4</v>
      </c>
      <c r="J9" s="373" t="n"/>
      <c r="K9" s="372" t="n"/>
      <c r="L9" s="374" t="n"/>
      <c r="M9" s="375" t="n"/>
      <c r="N9" s="361" t="n"/>
      <c r="O9" s="212" t="n"/>
      <c r="P9" s="647" t="n"/>
    </row>
    <row r="10" ht="15.6" customHeight="1">
      <c r="A10" s="364" t="n"/>
      <c r="B10" s="365" t="n"/>
      <c r="C10" s="377" t="inlineStr">
        <is>
          <t>일반</t>
        </is>
      </c>
      <c r="D10" s="367" t="inlineStr">
        <is>
          <t xml:space="preserve">화법과 언어 </t>
        </is>
      </c>
      <c r="E10" s="368">
        <f>IFERROR(VLOOKUP(D10, 기본학점, 2, FALSE), "")</f>
        <v/>
      </c>
      <c r="F10" s="369" t="n">
        <v>4</v>
      </c>
      <c r="G10" s="370" t="n"/>
      <c r="H10" s="371" t="n"/>
      <c r="I10" s="372" t="n"/>
      <c r="J10" s="373" t="n">
        <v>4</v>
      </c>
      <c r="K10" s="372" t="n"/>
      <c r="L10" s="374" t="n"/>
      <c r="M10" s="375" t="n"/>
      <c r="N10" s="361" t="n"/>
      <c r="O10" s="212" t="n"/>
      <c r="P10" s="647" t="n"/>
    </row>
    <row r="11" ht="15.6" customHeight="1">
      <c r="A11" s="364" t="n"/>
      <c r="B11" s="505" t="n"/>
      <c r="C11" s="379" t="inlineStr">
        <is>
          <t>일반</t>
        </is>
      </c>
      <c r="D11" s="367" t="inlineStr">
        <is>
          <t xml:space="preserve">독서와 작문 </t>
        </is>
      </c>
      <c r="E11" s="380">
        <f>IFERROR(VLOOKUP(D11, 기본학점, 2, FALSE), "")</f>
        <v/>
      </c>
      <c r="F11" s="381" t="n">
        <v>4</v>
      </c>
      <c r="G11" s="382" t="n"/>
      <c r="H11" s="383" t="n"/>
      <c r="I11" s="384" t="n"/>
      <c r="J11" s="385" t="n"/>
      <c r="K11" s="384" t="n">
        <v>4</v>
      </c>
      <c r="L11" s="359" t="n"/>
      <c r="M11" s="360" t="n"/>
      <c r="N11" s="386" t="n"/>
      <c r="O11" s="247" t="n"/>
      <c r="P11" s="640" t="n"/>
    </row>
    <row r="12" ht="15.6" customHeight="1">
      <c r="A12" s="364" t="n"/>
      <c r="B12" s="429" t="inlineStr">
        <is>
          <t>수 학</t>
        </is>
      </c>
      <c r="C12" s="389" t="inlineStr">
        <is>
          <t>공통</t>
        </is>
      </c>
      <c r="D12" s="390" t="inlineStr">
        <is>
          <t>공통수학1</t>
        </is>
      </c>
      <c r="E12" s="391">
        <f>IFERROR(VLOOKUP(D12, 기본학점, 2, FALSE), "")</f>
        <v/>
      </c>
      <c r="F12" s="392" t="n">
        <v>4</v>
      </c>
      <c r="G12" s="393" t="n">
        <v>4</v>
      </c>
      <c r="H12" s="394" t="n"/>
      <c r="I12" s="395" t="n"/>
      <c r="J12" s="396" t="n"/>
      <c r="K12" s="393" t="n"/>
      <c r="L12" s="394" t="n"/>
      <c r="M12" s="397" t="n"/>
      <c r="N12" s="398" t="n"/>
      <c r="O12" s="241">
        <f>SUM(F12:F16)</f>
        <v/>
      </c>
      <c r="P12" s="399" t="n">
        <v>8</v>
      </c>
    </row>
    <row r="13" ht="15.6" customHeight="1">
      <c r="A13" s="364" t="n"/>
      <c r="B13" s="365" t="n"/>
      <c r="C13" s="377" t="inlineStr">
        <is>
          <t>공통</t>
        </is>
      </c>
      <c r="D13" s="367" t="inlineStr">
        <is>
          <t>공통수학2</t>
        </is>
      </c>
      <c r="E13" s="368">
        <f>IFERROR(VLOOKUP(D13, 기본학점, 2, FALSE), "")</f>
        <v/>
      </c>
      <c r="F13" s="400" t="n">
        <v>4</v>
      </c>
      <c r="G13" s="401" t="n"/>
      <c r="H13" s="371" t="n">
        <v>4</v>
      </c>
      <c r="I13" s="372" t="n"/>
      <c r="J13" s="373" t="n"/>
      <c r="K13" s="401" t="n"/>
      <c r="L13" s="371" t="n"/>
      <c r="M13" s="375" t="n"/>
      <c r="N13" s="361" t="n"/>
      <c r="O13" s="241" t="n"/>
      <c r="P13" s="647" t="n"/>
    </row>
    <row r="14" ht="15.6" customHeight="1">
      <c r="A14" s="364" t="n"/>
      <c r="B14" s="365" t="n"/>
      <c r="C14" s="377" t="inlineStr">
        <is>
          <t>일반</t>
        </is>
      </c>
      <c r="D14" s="367" t="inlineStr">
        <is>
          <t>대수</t>
        </is>
      </c>
      <c r="E14" s="368">
        <f>IFERROR(VLOOKUP(D14, 기본학점, 2, FALSE), "")</f>
        <v/>
      </c>
      <c r="F14" s="369" t="n">
        <v>4</v>
      </c>
      <c r="G14" s="401" t="n"/>
      <c r="H14" s="371" t="n"/>
      <c r="I14" s="372" t="n">
        <v>4</v>
      </c>
      <c r="J14" s="373" t="n"/>
      <c r="K14" s="401" t="n"/>
      <c r="L14" s="371" t="n"/>
      <c r="M14" s="375" t="n"/>
      <c r="N14" s="361" t="n"/>
      <c r="O14" s="241" t="n"/>
      <c r="P14" s="647" t="n"/>
    </row>
    <row r="15" ht="15.6" customHeight="1">
      <c r="A15" s="364" t="n"/>
      <c r="B15" s="365" t="n"/>
      <c r="C15" s="377" t="inlineStr">
        <is>
          <t>일반</t>
        </is>
      </c>
      <c r="D15" s="367" t="inlineStr">
        <is>
          <t>미적분Ⅰ</t>
        </is>
      </c>
      <c r="E15" s="368">
        <f>IFERROR(VLOOKUP(D15, 기본학점, 2, FALSE), "")</f>
        <v/>
      </c>
      <c r="F15" s="369" t="n">
        <v>4</v>
      </c>
      <c r="G15" s="401" t="n"/>
      <c r="H15" s="371" t="n"/>
      <c r="I15" s="372" t="n"/>
      <c r="J15" s="373" t="n">
        <v>4</v>
      </c>
      <c r="K15" s="372" t="n"/>
      <c r="L15" s="373" t="n"/>
      <c r="M15" s="375" t="n"/>
      <c r="N15" s="361" t="n"/>
      <c r="O15" s="241" t="n"/>
      <c r="P15" s="647" t="n"/>
    </row>
    <row r="16" ht="15.6" customHeight="1">
      <c r="A16" s="364" t="n"/>
      <c r="B16" s="505" t="n"/>
      <c r="C16" s="379" t="inlineStr">
        <is>
          <t>일반</t>
        </is>
      </c>
      <c r="D16" s="402" t="inlineStr">
        <is>
          <t>확률과 통계</t>
        </is>
      </c>
      <c r="E16" s="380">
        <f>IFERROR(VLOOKUP(D16, 기본학점, 2, FALSE), "")</f>
        <v/>
      </c>
      <c r="F16" s="403" t="n">
        <v>4</v>
      </c>
      <c r="G16" s="404" t="n"/>
      <c r="H16" s="405" t="n"/>
      <c r="I16" s="406" t="n"/>
      <c r="J16" s="407" t="n"/>
      <c r="K16" s="406" t="n">
        <v>4</v>
      </c>
      <c r="L16" s="407" t="n"/>
      <c r="M16" s="408" t="n"/>
      <c r="N16" s="379" t="n"/>
      <c r="O16" s="246" t="n"/>
      <c r="P16" s="647" t="n"/>
    </row>
    <row r="17" ht="15.6" customHeight="1">
      <c r="A17" s="364" t="n"/>
      <c r="B17" s="429" t="inlineStr">
        <is>
          <t>영 어</t>
        </is>
      </c>
      <c r="C17" s="389" t="inlineStr">
        <is>
          <t>공통</t>
        </is>
      </c>
      <c r="D17" s="390" t="inlineStr">
        <is>
          <t>공통영어1</t>
        </is>
      </c>
      <c r="E17" s="391">
        <f>IFERROR(VLOOKUP(D17, 기본학점, 2, FALSE), "")</f>
        <v/>
      </c>
      <c r="F17" s="409" t="n">
        <v>4</v>
      </c>
      <c r="G17" s="410" t="n">
        <v>4</v>
      </c>
      <c r="H17" s="394" t="n"/>
      <c r="I17" s="395" t="n"/>
      <c r="J17" s="396" t="n"/>
      <c r="K17" s="395" t="n"/>
      <c r="L17" s="396" t="n"/>
      <c r="M17" s="397" t="n"/>
      <c r="N17" s="398" t="n"/>
      <c r="O17" s="245">
        <f>SUM(F17:F21)</f>
        <v/>
      </c>
      <c r="P17" s="399" t="n">
        <v>8</v>
      </c>
    </row>
    <row r="18" ht="15.6" customHeight="1">
      <c r="A18" s="364" t="n"/>
      <c r="B18" s="365" t="n"/>
      <c r="C18" s="377" t="inlineStr">
        <is>
          <t>공통</t>
        </is>
      </c>
      <c r="D18" s="367" t="inlineStr">
        <is>
          <t>공통영어2</t>
        </is>
      </c>
      <c r="E18" s="368">
        <f>IFERROR(VLOOKUP(D18, 기본학점, 2, FALSE), "")</f>
        <v/>
      </c>
      <c r="F18" s="369" t="n">
        <v>3</v>
      </c>
      <c r="G18" s="370" t="n"/>
      <c r="H18" s="371" t="n">
        <v>3</v>
      </c>
      <c r="I18" s="372" t="n"/>
      <c r="J18" s="373" t="n"/>
      <c r="K18" s="372" t="n"/>
      <c r="L18" s="373" t="n"/>
      <c r="M18" s="375" t="n"/>
      <c r="N18" s="361" t="n"/>
      <c r="O18" s="241" t="n"/>
      <c r="P18" s="647" t="n"/>
    </row>
    <row r="19" ht="15.6" customHeight="1">
      <c r="A19" s="364" t="n"/>
      <c r="B19" s="365" t="n"/>
      <c r="C19" s="377" t="inlineStr">
        <is>
          <t>일반</t>
        </is>
      </c>
      <c r="D19" s="367" t="inlineStr">
        <is>
          <t>영어Ⅰ</t>
        </is>
      </c>
      <c r="E19" s="368">
        <f>IFERROR(VLOOKUP(D19, 기본학점, 2, FALSE), "")</f>
        <v/>
      </c>
      <c r="F19" s="369" t="n">
        <v>4</v>
      </c>
      <c r="G19" s="370" t="n"/>
      <c r="H19" s="371" t="n"/>
      <c r="I19" s="372" t="n">
        <v>4</v>
      </c>
      <c r="J19" s="373" t="n"/>
      <c r="K19" s="372" t="n"/>
      <c r="L19" s="373" t="n"/>
      <c r="M19" s="375" t="n"/>
      <c r="N19" s="361" t="n"/>
      <c r="O19" s="241" t="n"/>
      <c r="P19" s="647" t="n"/>
    </row>
    <row r="20" ht="15.6" customHeight="1">
      <c r="A20" s="364" t="n"/>
      <c r="B20" s="365" t="n"/>
      <c r="C20" s="377" t="inlineStr">
        <is>
          <t>일반</t>
        </is>
      </c>
      <c r="D20" s="367" t="inlineStr">
        <is>
          <t>영어Ⅱ</t>
        </is>
      </c>
      <c r="E20" s="368">
        <f>IFERROR(VLOOKUP(D20, 기본학점, 2, FALSE), "")</f>
        <v/>
      </c>
      <c r="F20" s="369" t="n">
        <v>4</v>
      </c>
      <c r="G20" s="370" t="n"/>
      <c r="H20" s="371" t="n"/>
      <c r="I20" s="372" t="n"/>
      <c r="J20" s="373" t="n">
        <v>4</v>
      </c>
      <c r="K20" s="372" t="n"/>
      <c r="L20" s="373" t="n"/>
      <c r="M20" s="375" t="n"/>
      <c r="N20" s="361" t="n"/>
      <c r="O20" s="241" t="n"/>
      <c r="P20" s="647" t="n"/>
    </row>
    <row r="21" ht="15.6" customHeight="1">
      <c r="A21" s="364" t="n"/>
      <c r="B21" s="505" t="n"/>
      <c r="C21" s="379" t="inlineStr">
        <is>
          <t>일반</t>
        </is>
      </c>
      <c r="D21" s="408" t="inlineStr">
        <is>
          <t>영어 독해와 작문</t>
        </is>
      </c>
      <c r="E21" s="380">
        <f>IFERROR(VLOOKUP(D21, 기본학점, 2, FALSE), "")</f>
        <v/>
      </c>
      <c r="F21" s="381" t="n">
        <v>3</v>
      </c>
      <c r="G21" s="411" t="n"/>
      <c r="H21" s="412" t="n"/>
      <c r="I21" s="413" t="n"/>
      <c r="J21" s="414" t="n"/>
      <c r="K21" s="413" t="n">
        <v>3</v>
      </c>
      <c r="L21" s="414" t="n"/>
      <c r="M21" s="408" t="n"/>
      <c r="N21" s="379" t="n"/>
      <c r="O21" s="241" t="n"/>
      <c r="P21" s="640" t="n"/>
    </row>
    <row r="22" ht="46.8" customHeight="1">
      <c r="A22" s="364" t="n"/>
      <c r="B22" s="429" t="inlineStr">
        <is>
          <t>사 회
(역사/도덕 포함)</t>
        </is>
      </c>
      <c r="C22" s="29" t="inlineStr">
        <is>
          <t>공통</t>
        </is>
      </c>
      <c r="D22" s="390" t="inlineStr">
        <is>
          <t>한국사1</t>
        </is>
      </c>
      <c r="E22" s="391">
        <f>IFERROR(VLOOKUP(D22, 기본학점, 2, FALSE), "")</f>
        <v/>
      </c>
      <c r="F22" s="409" t="n">
        <v>3</v>
      </c>
      <c r="G22" s="410" t="n">
        <v>3</v>
      </c>
      <c r="H22" s="394" t="n"/>
      <c r="I22" s="395" t="n"/>
      <c r="J22" s="396" t="n"/>
      <c r="K22" s="395" t="n"/>
      <c r="L22" s="415" t="n"/>
      <c r="M22" s="397" t="n"/>
      <c r="N22" s="398" t="n"/>
      <c r="O22" s="245">
        <f>SUM(F22:F23)</f>
        <v/>
      </c>
      <c r="P22" s="399" t="n">
        <v>6</v>
      </c>
    </row>
    <row r="23" ht="15.6" customHeight="1">
      <c r="A23" s="364" t="n"/>
      <c r="B23" s="365" t="n"/>
      <c r="C23" s="35" t="inlineStr">
        <is>
          <t>공통</t>
        </is>
      </c>
      <c r="D23" s="402" t="inlineStr">
        <is>
          <t>한국사2</t>
        </is>
      </c>
      <c r="E23" s="416">
        <f>IFERROR(VLOOKUP(D23, 기본학점, 2, FALSE), "")</f>
        <v/>
      </c>
      <c r="F23" s="403" t="n">
        <v>3</v>
      </c>
      <c r="G23" s="417" t="n"/>
      <c r="H23" s="405" t="n">
        <v>3</v>
      </c>
      <c r="I23" s="406" t="n"/>
      <c r="J23" s="407" t="n"/>
      <c r="K23" s="406" t="n"/>
      <c r="L23" s="407" t="n"/>
      <c r="M23" s="402" t="n"/>
      <c r="N23" s="35" t="n"/>
      <c r="O23" s="246" t="n"/>
      <c r="P23" s="640" t="n"/>
    </row>
    <row r="24" ht="15.6" customHeight="1">
      <c r="A24" s="364" t="n"/>
      <c r="B24" s="365" t="n"/>
      <c r="C24" s="389" t="inlineStr">
        <is>
          <t>공통</t>
        </is>
      </c>
      <c r="D24" s="390" t="inlineStr">
        <is>
          <t>통합사회1</t>
        </is>
      </c>
      <c r="E24" s="391">
        <f>IFERROR(VLOOKUP(D24, 기본학점, 2, FALSE), "")</f>
        <v/>
      </c>
      <c r="F24" s="409" t="n">
        <v>3</v>
      </c>
      <c r="G24" s="410" t="n">
        <v>3</v>
      </c>
      <c r="H24" s="394" t="n"/>
      <c r="I24" s="395" t="n"/>
      <c r="J24" s="396" t="n"/>
      <c r="K24" s="395" t="n"/>
      <c r="L24" s="415" t="n"/>
      <c r="M24" s="397" t="n"/>
      <c r="N24" s="389" t="n"/>
      <c r="O24" s="245">
        <f>SUM(F24:F25)</f>
        <v/>
      </c>
      <c r="P24" s="399" t="n">
        <v>8</v>
      </c>
    </row>
    <row r="25" ht="15.6" customHeight="1">
      <c r="A25" s="364" t="n"/>
      <c r="B25" s="505" t="n"/>
      <c r="C25" s="35" t="inlineStr">
        <is>
          <t>공통</t>
        </is>
      </c>
      <c r="D25" s="402" t="inlineStr">
        <is>
          <t>통합사회2</t>
        </is>
      </c>
      <c r="E25" s="416">
        <f>IFERROR(VLOOKUP(D25, 기본학점, 2, FALSE), "")</f>
        <v/>
      </c>
      <c r="F25" s="403" t="n">
        <v>4</v>
      </c>
      <c r="G25" s="417" t="n"/>
      <c r="H25" s="405" t="n">
        <v>4</v>
      </c>
      <c r="I25" s="406" t="n"/>
      <c r="J25" s="407" t="n"/>
      <c r="K25" s="406" t="n"/>
      <c r="L25" s="407" t="n"/>
      <c r="M25" s="402" t="n"/>
      <c r="N25" s="35" t="n"/>
      <c r="O25" s="246" t="n"/>
      <c r="P25" s="640" t="n"/>
    </row>
    <row r="26" ht="15.6" customHeight="1">
      <c r="A26" s="364" t="n"/>
      <c r="B26" s="429" t="inlineStr">
        <is>
          <t>과 학</t>
        </is>
      </c>
      <c r="C26" s="389" t="inlineStr">
        <is>
          <t>공통</t>
        </is>
      </c>
      <c r="D26" s="390" t="inlineStr">
        <is>
          <t>통합과학1</t>
        </is>
      </c>
      <c r="E26" s="391">
        <f>IFERROR(VLOOKUP(D26, 기본학점, 2, FALSE), "")</f>
        <v/>
      </c>
      <c r="F26" s="409" t="n">
        <v>4</v>
      </c>
      <c r="G26" s="410" t="n">
        <v>4</v>
      </c>
      <c r="H26" s="394" t="n"/>
      <c r="I26" s="395" t="n"/>
      <c r="J26" s="396" t="n"/>
      <c r="K26" s="418" t="n"/>
      <c r="L26" s="419" t="n"/>
      <c r="M26" s="397" t="n"/>
      <c r="N26" s="389" t="n"/>
      <c r="O26" s="245">
        <f>SUM(F26:F29)</f>
        <v/>
      </c>
      <c r="P26" s="399" t="n">
        <v>10</v>
      </c>
    </row>
    <row r="27" ht="15.6" customHeight="1">
      <c r="A27" s="364" t="n"/>
      <c r="B27" s="365" t="n"/>
      <c r="C27" s="22" t="inlineStr">
        <is>
          <t>공통</t>
        </is>
      </c>
      <c r="D27" s="367" t="inlineStr">
        <is>
          <t>통합과학2</t>
        </is>
      </c>
      <c r="E27" s="368">
        <f>IFERROR(VLOOKUP(D27, 기본학점, 2, FALSE), "")</f>
        <v/>
      </c>
      <c r="F27" s="369" t="n">
        <v>3</v>
      </c>
      <c r="G27" s="370" t="n"/>
      <c r="H27" s="371" t="n">
        <v>3</v>
      </c>
      <c r="I27" s="372" t="n"/>
      <c r="J27" s="373" t="n"/>
      <c r="K27" s="420" t="n"/>
      <c r="L27" s="421" t="n"/>
      <c r="M27" s="375" t="n"/>
      <c r="N27" s="361" t="n"/>
      <c r="O27" s="241" t="n"/>
      <c r="P27" s="647" t="n"/>
    </row>
    <row r="28" ht="15.6" customHeight="1">
      <c r="A28" s="364" t="n"/>
      <c r="B28" s="365" t="n"/>
      <c r="C28" s="377" t="inlineStr">
        <is>
          <t>공통</t>
        </is>
      </c>
      <c r="D28" s="367" t="inlineStr">
        <is>
          <t>과학탐구실험1</t>
        </is>
      </c>
      <c r="E28" s="368">
        <f>IFERROR(VLOOKUP(D28, 기본학점, 2, FALSE), "")</f>
        <v/>
      </c>
      <c r="F28" s="400" t="n">
        <v>1</v>
      </c>
      <c r="G28" s="370" t="n">
        <v>1</v>
      </c>
      <c r="H28" s="371" t="n"/>
      <c r="I28" s="372" t="n"/>
      <c r="J28" s="373" t="n"/>
      <c r="K28" s="420" t="n"/>
      <c r="L28" s="421" t="n"/>
      <c r="M28" s="375" t="n"/>
      <c r="N28" s="361" t="n"/>
      <c r="O28" s="241" t="n"/>
      <c r="P28" s="647" t="n"/>
    </row>
    <row r="29" ht="15.6" customHeight="1">
      <c r="A29" s="364" t="n"/>
      <c r="B29" s="505" t="n"/>
      <c r="C29" s="422" t="inlineStr">
        <is>
          <t>공통</t>
        </is>
      </c>
      <c r="D29" s="402" t="inlineStr">
        <is>
          <t>과학탐구실험2</t>
        </is>
      </c>
      <c r="E29" s="380">
        <f>IFERROR(VLOOKUP(D29, 기본학점, 2, FALSE), "")</f>
        <v/>
      </c>
      <c r="F29" s="381" t="n">
        <v>1</v>
      </c>
      <c r="G29" s="417" t="n"/>
      <c r="H29" s="405" t="n">
        <v>1</v>
      </c>
      <c r="I29" s="406" t="n"/>
      <c r="J29" s="407" t="n"/>
      <c r="K29" s="406" t="n"/>
      <c r="L29" s="423" t="n"/>
      <c r="M29" s="424" t="n"/>
      <c r="N29" s="386" t="n"/>
      <c r="O29" s="246" t="n"/>
      <c r="P29" s="640" t="n"/>
      <c r="R29" s="681" t="n"/>
      <c r="S29" s="681" t="n"/>
      <c r="T29" s="681" t="n"/>
    </row>
    <row r="30" ht="15.6" customHeight="1">
      <c r="A30" s="364" t="n"/>
      <c r="B30" s="429" t="inlineStr">
        <is>
          <t>체 육</t>
        </is>
      </c>
      <c r="C30" s="389" t="inlineStr">
        <is>
          <t>일반</t>
        </is>
      </c>
      <c r="D30" s="390" t="inlineStr">
        <is>
          <t>체육1</t>
        </is>
      </c>
      <c r="E30" s="391">
        <f>IFERROR(VLOOKUP(D30, 기본학점, 2, FALSE), "")</f>
        <v/>
      </c>
      <c r="F30" s="392" t="n">
        <v>2</v>
      </c>
      <c r="G30" s="393" t="n">
        <v>2</v>
      </c>
      <c r="H30" s="394" t="n"/>
      <c r="I30" s="395" t="n"/>
      <c r="J30" s="396" t="n"/>
      <c r="K30" s="395" t="n"/>
      <c r="L30" s="415" t="n"/>
      <c r="M30" s="397" t="n"/>
      <c r="N30" s="389" t="n"/>
      <c r="O30" s="245">
        <f>SUM(F30:F35)</f>
        <v/>
      </c>
      <c r="P30" s="399" t="n">
        <v>10</v>
      </c>
      <c r="R30" s="681" t="n"/>
      <c r="S30" s="681" t="n"/>
      <c r="T30" s="681" t="n"/>
    </row>
    <row r="31" ht="15.6" customHeight="1">
      <c r="A31" s="364" t="n"/>
      <c r="B31" s="365" t="n"/>
      <c r="C31" s="377" t="inlineStr">
        <is>
          <t>일반</t>
        </is>
      </c>
      <c r="D31" s="367" t="inlineStr">
        <is>
          <t>체육2</t>
        </is>
      </c>
      <c r="E31" s="368">
        <f>IFERROR(VLOOKUP(D31, 기본학점, 2, FALSE), "")</f>
        <v/>
      </c>
      <c r="F31" s="369" t="n">
        <v>2</v>
      </c>
      <c r="G31" s="401" t="n"/>
      <c r="H31" s="371" t="n">
        <v>2</v>
      </c>
      <c r="I31" s="372" t="n"/>
      <c r="J31" s="373" t="n"/>
      <c r="K31" s="372" t="n"/>
      <c r="L31" s="374" t="n"/>
      <c r="M31" s="375" t="n"/>
      <c r="N31" s="361" t="n"/>
      <c r="O31" s="241" t="n"/>
      <c r="P31" s="647" t="n"/>
      <c r="R31" s="681" t="n"/>
      <c r="S31" s="681" t="n"/>
      <c r="T31" s="681" t="n"/>
    </row>
    <row r="32" ht="15.6" customHeight="1">
      <c r="A32" s="364" t="n"/>
      <c r="B32" s="365" t="n"/>
      <c r="C32" s="377" t="inlineStr">
        <is>
          <t>진로</t>
        </is>
      </c>
      <c r="D32" s="367" t="inlineStr">
        <is>
          <t>스포츠 문화</t>
        </is>
      </c>
      <c r="E32" s="368">
        <f>IFERROR(VLOOKUP(D32, 기본학점, 2, FALSE), "")</f>
        <v/>
      </c>
      <c r="F32" s="369" t="n">
        <v>1</v>
      </c>
      <c r="G32" s="401" t="n"/>
      <c r="H32" s="371" t="n"/>
      <c r="I32" s="372" t="n">
        <v>1</v>
      </c>
      <c r="J32" s="373" t="n"/>
      <c r="K32" s="372" t="n"/>
      <c r="L32" s="374" t="n"/>
      <c r="M32" s="375" t="n"/>
      <c r="N32" s="361" t="n"/>
      <c r="O32" s="241" t="n"/>
      <c r="P32" s="647" t="n"/>
      <c r="R32" s="681" t="n"/>
      <c r="S32" s="681" t="n"/>
      <c r="T32" s="681" t="n"/>
    </row>
    <row r="33" ht="15.6" customHeight="1">
      <c r="A33" s="364" t="n"/>
      <c r="B33" s="365" t="n"/>
      <c r="C33" s="377" t="inlineStr">
        <is>
          <t>진로</t>
        </is>
      </c>
      <c r="D33" s="367" t="inlineStr">
        <is>
          <t>스포츠 과학</t>
        </is>
      </c>
      <c r="E33" s="368">
        <f>IFERROR(VLOOKUP(D33, 기본학점, 2, FALSE), "")</f>
        <v/>
      </c>
      <c r="F33" s="369" t="n">
        <v>1</v>
      </c>
      <c r="G33" s="401" t="n"/>
      <c r="H33" s="371" t="n"/>
      <c r="I33" s="372" t="n"/>
      <c r="J33" s="373" t="n">
        <v>1</v>
      </c>
      <c r="K33" s="372" t="n"/>
      <c r="L33" s="374" t="n"/>
      <c r="M33" s="375" t="n"/>
      <c r="N33" s="361" t="n"/>
      <c r="O33" s="241" t="n"/>
      <c r="P33" s="647" t="n"/>
      <c r="R33" s="681" t="n"/>
      <c r="S33" s="681" t="n"/>
      <c r="T33" s="681" t="n"/>
    </row>
    <row r="34" ht="15.6" customHeight="1">
      <c r="A34" s="364" t="n"/>
      <c r="B34" s="365" t="n"/>
      <c r="C34" s="377" t="inlineStr">
        <is>
          <t>융합</t>
        </is>
      </c>
      <c r="D34" s="367" t="inlineStr">
        <is>
          <t xml:space="preserve">스포츠 생활1 </t>
        </is>
      </c>
      <c r="E34" s="368">
        <f>IFERROR(VLOOKUP(D34, 기본학점, 2, FALSE), "")</f>
        <v/>
      </c>
      <c r="F34" s="369" t="n">
        <v>2</v>
      </c>
      <c r="G34" s="370" t="n"/>
      <c r="H34" s="371" t="n"/>
      <c r="I34" s="372" t="n"/>
      <c r="J34" s="373" t="n"/>
      <c r="K34" s="372" t="n">
        <v>2</v>
      </c>
      <c r="L34" s="374" t="n"/>
      <c r="M34" s="375" t="n"/>
      <c r="N34" s="361" t="n"/>
      <c r="O34" s="241" t="n"/>
      <c r="P34" s="647" t="n"/>
      <c r="R34" s="681" t="n"/>
      <c r="S34" s="681" t="n"/>
      <c r="T34" s="681" t="n"/>
    </row>
    <row r="35" ht="15.6" customHeight="1">
      <c r="A35" s="364" t="n"/>
      <c r="B35" s="505" t="n"/>
      <c r="C35" s="386" t="inlineStr">
        <is>
          <t>융합</t>
        </is>
      </c>
      <c r="D35" s="424" t="inlineStr">
        <is>
          <t xml:space="preserve">스포츠 생활2 </t>
        </is>
      </c>
      <c r="E35" s="380">
        <f>IFERROR(VLOOKUP(D35, 기본학점, 2, FALSE), "")</f>
        <v/>
      </c>
      <c r="F35" s="426" t="n">
        <v>2</v>
      </c>
      <c r="G35" s="417" t="n"/>
      <c r="H35" s="405" t="n"/>
      <c r="I35" s="406" t="n"/>
      <c r="J35" s="423" t="n"/>
      <c r="K35" s="406" t="n"/>
      <c r="L35" s="423" t="n">
        <v>2</v>
      </c>
      <c r="M35" s="424" t="n"/>
      <c r="N35" s="386" t="n"/>
      <c r="O35" s="246" t="n"/>
      <c r="P35" s="640" t="n"/>
      <c r="R35" s="681" t="n"/>
      <c r="S35" s="681" t="n"/>
      <c r="T35" s="681" t="n"/>
    </row>
    <row r="36" ht="15.6" customHeight="1">
      <c r="A36" s="364" t="n"/>
      <c r="B36" s="429" t="inlineStr">
        <is>
          <t>예 술</t>
        </is>
      </c>
      <c r="C36" s="389" t="inlineStr">
        <is>
          <t>일반</t>
        </is>
      </c>
      <c r="D36" s="390" t="inlineStr">
        <is>
          <t>음악</t>
        </is>
      </c>
      <c r="E36" s="391">
        <f>IFERROR(VLOOKUP(D36, 기본학점, 2, FALSE), "")</f>
        <v/>
      </c>
      <c r="F36" s="409" t="n">
        <v>3</v>
      </c>
      <c r="G36" s="393" t="n">
        <v>3</v>
      </c>
      <c r="H36" s="394" t="inlineStr">
        <is>
          <t>[3]</t>
        </is>
      </c>
      <c r="I36" s="395" t="n"/>
      <c r="J36" s="396" t="n"/>
      <c r="K36" s="395" t="n"/>
      <c r="L36" s="415" t="n"/>
      <c r="M36" s="397" t="n"/>
      <c r="N36" s="389" t="n"/>
      <c r="O36" s="245">
        <f>SUM(F36:F37)</f>
        <v/>
      </c>
      <c r="P36" s="399" t="n">
        <v>10</v>
      </c>
      <c r="R36" s="681" t="n"/>
      <c r="S36" s="681" t="n"/>
      <c r="T36" s="681" t="n"/>
    </row>
    <row r="37" ht="15.6" customHeight="1">
      <c r="A37" s="364" t="n"/>
      <c r="B37" s="505" t="n"/>
      <c r="C37" s="379" t="inlineStr">
        <is>
          <t>일반</t>
        </is>
      </c>
      <c r="D37" s="427" t="inlineStr">
        <is>
          <t>미술</t>
        </is>
      </c>
      <c r="E37" s="416">
        <f>IFERROR(VLOOKUP(D37, 기본학점, 2, FALSE), "")</f>
        <v/>
      </c>
      <c r="F37" s="380" t="n">
        <v>3</v>
      </c>
      <c r="G37" s="417" t="inlineStr">
        <is>
          <t>[3]</t>
        </is>
      </c>
      <c r="H37" s="405" t="n">
        <v>3</v>
      </c>
      <c r="I37" s="406" t="n"/>
      <c r="J37" s="423" t="n"/>
      <c r="K37" s="406" t="n"/>
      <c r="L37" s="423" t="n"/>
      <c r="M37" s="427" t="n"/>
      <c r="N37" s="428" t="n"/>
      <c r="O37" s="246" t="n"/>
      <c r="P37" s="640" t="n"/>
      <c r="R37" s="681" t="n"/>
      <c r="S37" s="681" t="n"/>
      <c r="T37" s="681" t="n"/>
    </row>
    <row r="38" ht="31.2" customHeight="1">
      <c r="A38" s="364" t="n"/>
      <c r="B38" s="429" t="inlineStr">
        <is>
          <t>기술∙가정/정보</t>
        </is>
      </c>
      <c r="C38" s="389" t="inlineStr">
        <is>
          <t>일반</t>
        </is>
      </c>
      <c r="D38" s="390" t="inlineStr">
        <is>
          <t>정보</t>
        </is>
      </c>
      <c r="E38" s="391">
        <f>IFERROR(VLOOKUP(D38, 기본학점, 2, FALSE), "")</f>
        <v/>
      </c>
      <c r="F38" s="409" t="n">
        <v>3</v>
      </c>
      <c r="G38" s="410" t="n"/>
      <c r="H38" s="394" t="n">
        <v>3</v>
      </c>
      <c r="I38" s="395" t="n"/>
      <c r="J38" s="396" t="n"/>
      <c r="K38" s="395" t="n"/>
      <c r="L38" s="415" t="n"/>
      <c r="M38" s="397" t="n"/>
      <c r="N38" s="389" t="n"/>
      <c r="O38" s="211">
        <f>SUM(F38:F39)</f>
        <v/>
      </c>
      <c r="P38" s="399" t="n">
        <v>16</v>
      </c>
      <c r="R38" s="681" t="n"/>
      <c r="S38" s="681" t="n"/>
      <c r="T38" s="681" t="n"/>
    </row>
    <row r="39" ht="15.6" customHeight="1">
      <c r="A39" s="430" t="n"/>
      <c r="B39" s="431" t="inlineStr">
        <is>
          <t>교 양</t>
        </is>
      </c>
      <c r="C39" s="432" t="inlineStr">
        <is>
          <t>일반</t>
        </is>
      </c>
      <c r="D39" s="433" t="inlineStr">
        <is>
          <t xml:space="preserve">진로와 직업 </t>
        </is>
      </c>
      <c r="E39" s="434">
        <f>IFERROR(VLOOKUP(D39, 기본학점, 2, FALSE), "")</f>
        <v/>
      </c>
      <c r="F39" s="435" t="n">
        <v>2</v>
      </c>
      <c r="G39" s="436" t="n">
        <v>2</v>
      </c>
      <c r="H39" s="437" t="n"/>
      <c r="I39" s="438" t="n"/>
      <c r="J39" s="439" t="n"/>
      <c r="K39" s="438" t="n"/>
      <c r="L39" s="440" t="n"/>
      <c r="M39" s="441" t="n"/>
      <c r="N39" s="432" t="n"/>
      <c r="O39" s="442" t="n"/>
      <c r="P39" s="443" t="n"/>
      <c r="R39" s="681" t="n"/>
      <c r="S39" s="681" t="n"/>
      <c r="T39" s="681" t="n"/>
    </row>
    <row r="40" ht="46.8" customHeight="1">
      <c r="A40" s="349" t="inlineStr">
        <is>
          <t xml:space="preserve">2
학년선택 </t>
        </is>
      </c>
      <c r="B40" s="529" t="inlineStr">
        <is>
          <t>사 회
(역사/도덕 포함)</t>
        </is>
      </c>
      <c r="C40" s="444" t="inlineStr">
        <is>
          <t>일반</t>
        </is>
      </c>
      <c r="D40" s="352" t="inlineStr">
        <is>
          <t>세계시민과 지리</t>
        </is>
      </c>
      <c r="E40" s="445">
        <f>IFERROR(VLOOKUP(D40, 기본학점, 2, FALSE), "")</f>
        <v/>
      </c>
      <c r="F40" s="446" t="n">
        <v>3</v>
      </c>
      <c r="G40" s="447" t="n"/>
      <c r="H40" s="448" t="n"/>
      <c r="I40" s="449" t="inlineStr">
        <is>
          <t>15
(택5)</t>
        </is>
      </c>
      <c r="J40" s="450" t="n"/>
      <c r="K40" s="451" t="n"/>
      <c r="L40" s="452" t="n"/>
      <c r="M40" s="453" t="n"/>
      <c r="N40" s="454" t="n"/>
      <c r="O40" s="646" t="n">
        <v>34</v>
      </c>
      <c r="P40" s="456" t="n"/>
    </row>
    <row r="41" ht="15.6" customHeight="1">
      <c r="A41" s="364" t="n"/>
      <c r="B41" s="365" t="n"/>
      <c r="C41" s="457" t="inlineStr">
        <is>
          <t>일반</t>
        </is>
      </c>
      <c r="D41" s="367" t="inlineStr">
        <is>
          <t>세계사</t>
        </is>
      </c>
      <c r="E41" s="368">
        <f>IFERROR(VLOOKUP(D41, 기본학점, 2, FALSE), "")</f>
        <v/>
      </c>
      <c r="F41" s="401" t="n">
        <v>3</v>
      </c>
      <c r="G41" s="458" t="n"/>
      <c r="H41" s="459" t="n"/>
      <c r="I41" s="302" t="n"/>
      <c r="J41" s="460" t="n"/>
      <c r="K41" s="461" t="n"/>
      <c r="L41" s="462" t="n"/>
      <c r="M41" s="463" t="n"/>
      <c r="N41" s="361" t="n"/>
      <c r="O41" s="646" t="n"/>
      <c r="P41" s="464" t="n"/>
    </row>
    <row r="42" ht="15.6" customHeight="1">
      <c r="A42" s="364" t="n"/>
      <c r="B42" s="365" t="n"/>
      <c r="C42" s="457" t="inlineStr">
        <is>
          <t>일반</t>
        </is>
      </c>
      <c r="D42" s="367" t="inlineStr">
        <is>
          <t>사회와 문화</t>
        </is>
      </c>
      <c r="E42" s="368">
        <f>IFERROR(VLOOKUP(D42, 기본학점, 2, FALSE), "")</f>
        <v/>
      </c>
      <c r="F42" s="401" t="n">
        <v>3</v>
      </c>
      <c r="G42" s="458" t="n"/>
      <c r="H42" s="459" t="n"/>
      <c r="I42" s="302" t="n"/>
      <c r="J42" s="460" t="n"/>
      <c r="K42" s="461" t="n"/>
      <c r="L42" s="462" t="n"/>
      <c r="M42" s="463" t="n"/>
      <c r="N42" s="361" t="n"/>
      <c r="O42" s="646" t="n"/>
      <c r="P42" s="464" t="n"/>
    </row>
    <row r="43" ht="15.6" customHeight="1">
      <c r="A43" s="364" t="n"/>
      <c r="B43" s="505" t="n"/>
      <c r="C43" s="465" t="inlineStr">
        <is>
          <t>일반</t>
        </is>
      </c>
      <c r="D43" s="402" t="inlineStr">
        <is>
          <t>현대사회와 윤리</t>
        </is>
      </c>
      <c r="E43" s="380">
        <f>IFERROR(VLOOKUP(D43, 기본학점, 2, FALSE), "")</f>
        <v/>
      </c>
      <c r="F43" s="380" t="n">
        <v>3</v>
      </c>
      <c r="G43" s="466" t="n"/>
      <c r="H43" s="467" t="n"/>
      <c r="I43" s="302" t="n"/>
      <c r="J43" s="468" t="n"/>
      <c r="K43" s="469" t="n"/>
      <c r="L43" s="470" t="n"/>
      <c r="M43" s="408" t="n"/>
      <c r="N43" s="379" t="n"/>
      <c r="O43" s="646" t="n"/>
      <c r="P43" s="464" t="n"/>
    </row>
    <row r="44" ht="15.6" customHeight="1">
      <c r="A44" s="364" t="n"/>
      <c r="B44" s="429" t="inlineStr">
        <is>
          <t>과 학</t>
        </is>
      </c>
      <c r="C44" s="471" t="inlineStr">
        <is>
          <t>일반</t>
        </is>
      </c>
      <c r="D44" s="390" t="inlineStr">
        <is>
          <t>물리학</t>
        </is>
      </c>
      <c r="E44" s="391">
        <f>IFERROR(VLOOKUP(D44, 기본학점, 2, FALSE), "")</f>
        <v/>
      </c>
      <c r="F44" s="393" t="n">
        <v>3</v>
      </c>
      <c r="G44" s="472" t="n"/>
      <c r="H44" s="473" t="n"/>
      <c r="I44" s="302" t="n"/>
      <c r="J44" s="474" t="n"/>
      <c r="K44" s="475" t="n"/>
      <c r="L44" s="476" t="n"/>
      <c r="M44" s="477" t="n"/>
      <c r="N44" s="398" t="n"/>
      <c r="O44" s="646" t="n"/>
      <c r="P44" s="464" t="n"/>
    </row>
    <row r="45" ht="15.6" customHeight="1">
      <c r="A45" s="364" t="n"/>
      <c r="B45" s="365" t="n"/>
      <c r="C45" s="457" t="inlineStr">
        <is>
          <t>일반</t>
        </is>
      </c>
      <c r="D45" s="367" t="inlineStr">
        <is>
          <t>화학</t>
        </is>
      </c>
      <c r="E45" s="368">
        <f>IFERROR(VLOOKUP(D45, 기본학점, 2, FALSE), "")</f>
        <v/>
      </c>
      <c r="F45" s="401" t="n">
        <v>3</v>
      </c>
      <c r="G45" s="458" t="n"/>
      <c r="H45" s="459" t="n"/>
      <c r="I45" s="302" t="n"/>
      <c r="J45" s="478" t="n"/>
      <c r="K45" s="479" t="n"/>
      <c r="L45" s="480" t="n"/>
      <c r="M45" s="463" t="n"/>
      <c r="N45" s="361" t="n"/>
      <c r="O45" s="646" t="n"/>
      <c r="P45" s="464" t="n"/>
    </row>
    <row r="46" ht="15.6" customHeight="1">
      <c r="A46" s="364" t="n"/>
      <c r="B46" s="365" t="n"/>
      <c r="C46" s="457" t="inlineStr">
        <is>
          <t>일반</t>
        </is>
      </c>
      <c r="D46" s="367" t="inlineStr">
        <is>
          <t xml:space="preserve">생명과학 </t>
        </is>
      </c>
      <c r="E46" s="368">
        <f>IFERROR(VLOOKUP(D46, 기본학점, 2, FALSE), "")</f>
        <v/>
      </c>
      <c r="F46" s="401" t="n">
        <v>3</v>
      </c>
      <c r="G46" s="481" t="n"/>
      <c r="H46" s="482" t="n"/>
      <c r="I46" s="302" t="n"/>
      <c r="J46" s="483" t="n"/>
      <c r="K46" s="484" t="n"/>
      <c r="L46" s="485" t="n"/>
      <c r="M46" s="463" t="n"/>
      <c r="N46" s="361" t="n"/>
      <c r="O46" s="646" t="n"/>
      <c r="P46" s="464" t="n"/>
    </row>
    <row r="47" ht="15.6" customHeight="1">
      <c r="A47" s="364" t="n"/>
      <c r="B47" s="505" t="n"/>
      <c r="C47" s="486" t="inlineStr">
        <is>
          <t>일반</t>
        </is>
      </c>
      <c r="D47" s="402" t="inlineStr">
        <is>
          <t>지구과학</t>
        </is>
      </c>
      <c r="E47" s="380">
        <f>IFERROR(VLOOKUP(D47, 기본학점, 2, FALSE), "")</f>
        <v/>
      </c>
      <c r="F47" s="487" t="n">
        <v>3</v>
      </c>
      <c r="G47" s="488" t="n"/>
      <c r="H47" s="489" t="n"/>
      <c r="I47" s="302" t="n"/>
      <c r="J47" s="490" t="n"/>
      <c r="K47" s="491" t="n"/>
      <c r="L47" s="492" t="n"/>
      <c r="M47" s="408" t="n"/>
      <c r="N47" s="386" t="n"/>
      <c r="O47" s="646" t="n"/>
      <c r="P47" s="464" t="n"/>
    </row>
    <row r="48" ht="31.2" customHeight="1">
      <c r="A48" s="364" t="n"/>
      <c r="B48" s="493" t="inlineStr">
        <is>
          <t>기술∙가정/정보</t>
        </is>
      </c>
      <c r="C48" s="494" t="inlineStr">
        <is>
          <t>진로</t>
        </is>
      </c>
      <c r="D48" s="495" t="inlineStr">
        <is>
          <t xml:space="preserve">인공지능 기초 </t>
        </is>
      </c>
      <c r="E48" s="496">
        <f>IFERROR(VLOOKUP(D48, 기본학점, 2, FALSE), "")</f>
        <v/>
      </c>
      <c r="F48" s="497" t="n">
        <v>3</v>
      </c>
      <c r="G48" s="498" t="n"/>
      <c r="H48" s="499" t="n"/>
      <c r="I48" s="302" t="n"/>
      <c r="J48" s="500" t="n"/>
      <c r="K48" s="501" t="n"/>
      <c r="L48" s="502" t="n"/>
      <c r="M48" s="503" t="n"/>
      <c r="N48" s="504" t="n"/>
      <c r="O48" s="646" t="n"/>
      <c r="P48" s="464" t="n"/>
    </row>
    <row r="49" ht="15.6" customHeight="1">
      <c r="A49" s="364" t="n"/>
      <c r="B49" s="505" t="inlineStr">
        <is>
          <t>교 양</t>
        </is>
      </c>
      <c r="C49" s="506" t="inlineStr">
        <is>
          <t>진로</t>
        </is>
      </c>
      <c r="D49" s="310" t="inlineStr">
        <is>
          <t>인간과 심리</t>
        </is>
      </c>
      <c r="E49" s="426" t="n">
        <v>3</v>
      </c>
      <c r="F49" s="426" t="n">
        <v>3</v>
      </c>
      <c r="G49" s="507" t="n"/>
      <c r="H49" s="539" t="n"/>
      <c r="I49" s="509" t="n"/>
      <c r="J49" s="510" t="n"/>
      <c r="K49" s="589" t="n"/>
      <c r="L49" s="297" t="n"/>
      <c r="M49" s="512" t="n"/>
      <c r="N49" s="513" t="n"/>
      <c r="O49" s="646" t="n"/>
      <c r="P49" s="464" t="n"/>
    </row>
    <row r="50" ht="31.2" customHeight="1">
      <c r="A50" s="364" t="n"/>
      <c r="B50" s="429" t="inlineStr">
        <is>
          <t>예 술</t>
        </is>
      </c>
      <c r="C50" s="471" t="inlineStr">
        <is>
          <t>진로</t>
        </is>
      </c>
      <c r="D50" s="390" t="inlineStr">
        <is>
          <t>음악 연주와 창작</t>
        </is>
      </c>
      <c r="E50" s="391">
        <f>IFERROR(VLOOKUP(D50, 기본학점, 2, FALSE), "")</f>
        <v/>
      </c>
      <c r="F50" s="392" t="n">
        <v>2</v>
      </c>
      <c r="G50" s="472" t="n"/>
      <c r="H50" s="514" t="n"/>
      <c r="I50" s="305" t="inlineStr">
        <is>
          <t>2
(택1)</t>
        </is>
      </c>
      <c r="J50" s="515" t="n"/>
      <c r="K50" s="516" t="n"/>
      <c r="L50" s="517" t="n"/>
      <c r="M50" s="477" t="n"/>
      <c r="N50" s="398" t="n"/>
      <c r="O50" s="646" t="n"/>
      <c r="P50" s="464" t="n"/>
    </row>
    <row r="51" ht="15.6" customHeight="1">
      <c r="A51" s="364" t="n"/>
      <c r="B51" s="518" t="n"/>
      <c r="C51" s="519" t="inlineStr">
        <is>
          <t>진로</t>
        </is>
      </c>
      <c r="D51" s="520" t="inlineStr">
        <is>
          <t xml:space="preserve">미술 창작 </t>
        </is>
      </c>
      <c r="E51" s="521">
        <f>IFERROR(VLOOKUP(D51, 기본학점, 2, FALSE), "")</f>
        <v/>
      </c>
      <c r="F51" s="521" t="n">
        <v>2</v>
      </c>
      <c r="G51" s="522" t="n"/>
      <c r="H51" s="523" t="n"/>
      <c r="I51" s="524" t="n"/>
      <c r="J51" s="525" t="n"/>
      <c r="K51" s="526" t="n"/>
      <c r="L51" s="527" t="n"/>
      <c r="M51" s="528" t="n"/>
      <c r="N51" s="519" t="n"/>
      <c r="O51" s="646" t="n"/>
      <c r="P51" s="464" t="n"/>
    </row>
    <row r="52" ht="31.2" customHeight="1">
      <c r="A52" s="364" t="n"/>
      <c r="B52" s="529" t="inlineStr">
        <is>
          <t>국 어</t>
        </is>
      </c>
      <c r="C52" s="530" t="inlineStr">
        <is>
          <t>진로</t>
        </is>
      </c>
      <c r="D52" s="531" t="inlineStr">
        <is>
          <t xml:space="preserve">주제 탐구 독서 </t>
        </is>
      </c>
      <c r="E52" s="353">
        <f>IFERROR(VLOOKUP(D52, 기본학점, 2, FALSE), "")</f>
        <v/>
      </c>
      <c r="F52" s="532" t="n">
        <v>3</v>
      </c>
      <c r="G52" s="533" t="n"/>
      <c r="H52" s="534" t="n"/>
      <c r="I52" s="535" t="n"/>
      <c r="J52" s="536" t="inlineStr">
        <is>
          <t>15
(택5)</t>
        </is>
      </c>
      <c r="K52" s="535" t="n"/>
      <c r="L52" s="537" t="n"/>
      <c r="M52" s="453" t="n"/>
      <c r="N52" s="454" t="n"/>
      <c r="O52" s="661" t="n"/>
      <c r="P52" s="464" t="n"/>
      <c r="R52" s="681" t="n"/>
      <c r="S52" s="681" t="n"/>
      <c r="T52" s="681" t="n"/>
    </row>
    <row r="53">
      <c r="A53" s="364" t="n"/>
      <c r="B53" s="429" t="inlineStr">
        <is>
          <t>수 학</t>
        </is>
      </c>
      <c r="C53" s="471" t="inlineStr">
        <is>
          <t>진로</t>
        </is>
      </c>
      <c r="D53" s="390" t="inlineStr">
        <is>
          <t>기하</t>
        </is>
      </c>
      <c r="E53" s="391">
        <f>IFERROR(VLOOKUP(D53, 기본학점, 2, FALSE), "")</f>
        <v/>
      </c>
      <c r="F53" s="409" t="n">
        <v>3</v>
      </c>
      <c r="G53" s="472" t="n"/>
      <c r="H53" s="514" t="n"/>
      <c r="I53" s="516" t="n"/>
      <c r="J53" s="539" t="n"/>
      <c r="K53" s="516" t="n"/>
      <c r="L53" s="540" t="n"/>
      <c r="M53" s="477" t="n"/>
      <c r="N53" s="389" t="n"/>
      <c r="O53" s="661" t="n"/>
      <c r="P53" s="464" t="n"/>
    </row>
    <row r="54">
      <c r="A54" s="364" t="n"/>
      <c r="B54" s="505" t="n"/>
      <c r="C54" s="465" t="inlineStr">
        <is>
          <t>진로</t>
        </is>
      </c>
      <c r="D54" s="402" t="inlineStr">
        <is>
          <t>인공지능 수학</t>
        </is>
      </c>
      <c r="E54" s="380">
        <f>IFERROR(VLOOKUP(D54, 기본학점, 2, FALSE), "")</f>
        <v/>
      </c>
      <c r="F54" s="380" t="n">
        <v>3</v>
      </c>
      <c r="G54" s="466" t="n"/>
      <c r="H54" s="489" t="n"/>
      <c r="I54" s="541" t="n"/>
      <c r="J54" s="539" t="n"/>
      <c r="K54" s="139" t="n"/>
      <c r="L54" s="542" t="n"/>
      <c r="M54" s="408" t="n"/>
      <c r="N54" s="379" t="n"/>
      <c r="O54" s="661" t="n"/>
      <c r="P54" s="464" t="n"/>
    </row>
    <row r="55">
      <c r="A55" s="364" t="n"/>
      <c r="B55" s="505" t="inlineStr">
        <is>
          <t>영 어</t>
        </is>
      </c>
      <c r="C55" s="486" t="inlineStr">
        <is>
          <t>융합</t>
        </is>
      </c>
      <c r="D55" s="402" t="inlineStr">
        <is>
          <t>세계 문화와 영어</t>
        </is>
      </c>
      <c r="E55" s="380">
        <f>IFERROR(VLOOKUP(D55, 기본학점, 2, FALSE), "")</f>
        <v/>
      </c>
      <c r="F55" s="380" t="n">
        <v>3</v>
      </c>
      <c r="G55" s="466" t="n"/>
      <c r="H55" s="489" t="n"/>
      <c r="I55" s="541" t="n"/>
      <c r="J55" s="539" t="n"/>
      <c r="K55" s="139" t="n"/>
      <c r="L55" s="542" t="n"/>
      <c r="M55" s="424" t="n"/>
      <c r="N55" s="386" t="n"/>
      <c r="O55" s="661" t="n"/>
      <c r="P55" s="464" t="n"/>
    </row>
    <row r="56" ht="46.8" customHeight="1">
      <c r="A56" s="364" t="n"/>
      <c r="B56" s="429" t="inlineStr">
        <is>
          <t>사 회
(역사/도덕 포함)</t>
        </is>
      </c>
      <c r="C56" s="471" t="inlineStr">
        <is>
          <t>진로</t>
        </is>
      </c>
      <c r="D56" s="390" t="inlineStr">
        <is>
          <t>한국지리 탐구</t>
        </is>
      </c>
      <c r="E56" s="391">
        <f>IFERROR(VLOOKUP(D56, 기본학점, 2, FALSE), "")</f>
        <v/>
      </c>
      <c r="F56" s="409" t="n">
        <v>3</v>
      </c>
      <c r="G56" s="472" t="n"/>
      <c r="H56" s="473" t="n"/>
      <c r="I56" s="543" t="n"/>
      <c r="J56" s="539" t="n"/>
      <c r="K56" s="543" t="n"/>
      <c r="L56" s="544" t="n"/>
      <c r="M56" s="477" t="n"/>
      <c r="N56" s="389" t="n"/>
      <c r="O56" s="661" t="n"/>
      <c r="P56" s="464" t="n"/>
    </row>
    <row r="57">
      <c r="A57" s="364" t="n"/>
      <c r="B57" s="365" t="n"/>
      <c r="C57" s="457" t="inlineStr">
        <is>
          <t>진로</t>
        </is>
      </c>
      <c r="D57" s="367" t="inlineStr">
        <is>
          <t>동아시아 역사 기행</t>
        </is>
      </c>
      <c r="E57" s="368">
        <f>IFERROR(VLOOKUP(D57, 기본학점, 2, FALSE), "")</f>
        <v/>
      </c>
      <c r="F57" s="369" t="n">
        <v>3</v>
      </c>
      <c r="G57" s="458" t="n"/>
      <c r="H57" s="459" t="n"/>
      <c r="I57" s="461" t="n"/>
      <c r="J57" s="539" t="n"/>
      <c r="K57" s="461" t="n"/>
      <c r="L57" s="462" t="n"/>
      <c r="M57" s="463" t="n"/>
      <c r="N57" s="361" t="n"/>
      <c r="O57" s="661" t="n"/>
      <c r="P57" s="464" t="n"/>
    </row>
    <row r="58">
      <c r="A58" s="364" t="n"/>
      <c r="B58" s="365" t="n"/>
      <c r="C58" s="457" t="inlineStr">
        <is>
          <t>진로</t>
        </is>
      </c>
      <c r="D58" s="367" t="inlineStr">
        <is>
          <t xml:space="preserve">법과 사회 </t>
        </is>
      </c>
      <c r="E58" s="368">
        <f>IFERROR(VLOOKUP(D58, 기본학점, 2, FALSE), "")</f>
        <v/>
      </c>
      <c r="F58" s="369" t="n">
        <v>3</v>
      </c>
      <c r="G58" s="458" t="n"/>
      <c r="H58" s="459" t="n"/>
      <c r="I58" s="461" t="n"/>
      <c r="J58" s="539" t="n"/>
      <c r="K58" s="461" t="n"/>
      <c r="L58" s="462" t="n"/>
      <c r="M58" s="463" t="n"/>
      <c r="N58" s="361" t="n"/>
      <c r="O58" s="661" t="n"/>
      <c r="P58" s="464" t="n"/>
    </row>
    <row r="59">
      <c r="A59" s="364" t="n"/>
      <c r="B59" s="365" t="n"/>
      <c r="C59" s="457" t="inlineStr">
        <is>
          <t>진로</t>
        </is>
      </c>
      <c r="D59" s="367" t="inlineStr">
        <is>
          <t>경제</t>
        </is>
      </c>
      <c r="E59" s="368">
        <f>IFERROR(VLOOKUP(D59, 기본학점, 2, FALSE), "")</f>
        <v/>
      </c>
      <c r="F59" s="369" t="n">
        <v>3</v>
      </c>
      <c r="G59" s="458" t="n"/>
      <c r="H59" s="459" t="n"/>
      <c r="I59" s="461" t="n"/>
      <c r="J59" s="539" t="n"/>
      <c r="K59" s="461" t="n"/>
      <c r="L59" s="462" t="n"/>
      <c r="M59" s="463" t="n"/>
      <c r="N59" s="361" t="n"/>
      <c r="O59" s="661" t="n"/>
      <c r="P59" s="464" t="n"/>
    </row>
    <row r="60">
      <c r="A60" s="364" t="n"/>
      <c r="B60" s="505" t="n"/>
      <c r="C60" s="465" t="inlineStr">
        <is>
          <t>진로</t>
        </is>
      </c>
      <c r="D60" s="402" t="inlineStr">
        <is>
          <t xml:space="preserve">윤리와 사상 </t>
        </is>
      </c>
      <c r="E60" s="380">
        <f>IFERROR(VLOOKUP(D60, 기본학점, 2, FALSE), "")</f>
        <v/>
      </c>
      <c r="F60" s="380" t="n">
        <v>3</v>
      </c>
      <c r="G60" s="545" t="n"/>
      <c r="H60" s="546" t="n"/>
      <c r="I60" s="547" t="n"/>
      <c r="J60" s="539" t="n"/>
      <c r="K60" s="548" t="n"/>
      <c r="L60" s="549" t="n"/>
      <c r="M60" s="424" t="n"/>
      <c r="N60" s="379" t="n"/>
      <c r="O60" s="661" t="n"/>
      <c r="P60" s="464" t="n"/>
    </row>
    <row r="61">
      <c r="A61" s="364" t="n"/>
      <c r="B61" s="429" t="inlineStr">
        <is>
          <t>과 학</t>
        </is>
      </c>
      <c r="C61" s="471" t="inlineStr">
        <is>
          <t>진로</t>
        </is>
      </c>
      <c r="D61" s="390" t="inlineStr">
        <is>
          <t xml:space="preserve">역학과 에너지 </t>
        </is>
      </c>
      <c r="E61" s="391">
        <f>IFERROR(VLOOKUP(D61, 기본학점, 2, FALSE), "")</f>
        <v/>
      </c>
      <c r="F61" s="409" t="n">
        <v>3</v>
      </c>
      <c r="G61" s="472" t="n"/>
      <c r="H61" s="473" t="n"/>
      <c r="I61" s="516" t="n"/>
      <c r="J61" s="539" t="n"/>
      <c r="K61" s="475" t="n"/>
      <c r="L61" s="476" t="n"/>
      <c r="M61" s="477" t="n"/>
      <c r="N61" s="398" t="n"/>
      <c r="O61" s="661" t="n"/>
      <c r="P61" s="464" t="n"/>
    </row>
    <row r="62">
      <c r="A62" s="364" t="n"/>
      <c r="B62" s="365" t="n"/>
      <c r="C62" s="457" t="inlineStr">
        <is>
          <t>진로</t>
        </is>
      </c>
      <c r="D62" s="367" t="inlineStr">
        <is>
          <t xml:space="preserve">물질과 에너지 </t>
        </is>
      </c>
      <c r="E62" s="368">
        <f>IFERROR(VLOOKUP(D62, 기본학점, 2, FALSE), "")</f>
        <v/>
      </c>
      <c r="F62" s="369" t="n">
        <v>3</v>
      </c>
      <c r="G62" s="458" t="n"/>
      <c r="H62" s="459" t="n"/>
      <c r="I62" s="550" t="n"/>
      <c r="J62" s="539" t="n"/>
      <c r="K62" s="479" t="n"/>
      <c r="L62" s="480" t="n"/>
      <c r="M62" s="463" t="n"/>
      <c r="N62" s="361" t="n"/>
      <c r="O62" s="661" t="n"/>
      <c r="P62" s="464" t="n"/>
    </row>
    <row r="63">
      <c r="A63" s="364" t="n"/>
      <c r="B63" s="365" t="n"/>
      <c r="C63" s="457" t="inlineStr">
        <is>
          <t>진로</t>
        </is>
      </c>
      <c r="D63" s="367" t="inlineStr">
        <is>
          <t xml:space="preserve">세포와 물질대사 </t>
        </is>
      </c>
      <c r="E63" s="368">
        <f>IFERROR(VLOOKUP(D63, 기본학점, 2, FALSE), "")</f>
        <v/>
      </c>
      <c r="F63" s="369" t="n">
        <v>3</v>
      </c>
      <c r="G63" s="481" t="n"/>
      <c r="H63" s="482" t="n"/>
      <c r="I63" s="551" t="n"/>
      <c r="J63" s="539" t="n"/>
      <c r="K63" s="484" t="n"/>
      <c r="L63" s="485" t="n"/>
      <c r="M63" s="463" t="n"/>
      <c r="N63" s="361" t="n"/>
      <c r="O63" s="661" t="n"/>
      <c r="P63" s="464" t="n"/>
    </row>
    <row r="64">
      <c r="A64" s="364" t="n"/>
      <c r="B64" s="505" t="n"/>
      <c r="C64" s="486" t="inlineStr">
        <is>
          <t>진로</t>
        </is>
      </c>
      <c r="D64" s="402" t="inlineStr">
        <is>
          <t xml:space="preserve">지구시스템과학 </t>
        </is>
      </c>
      <c r="E64" s="380">
        <f>IFERROR(VLOOKUP(D64, 기본학점, 2, FALSE), "")</f>
        <v/>
      </c>
      <c r="F64" s="380" t="n">
        <v>3</v>
      </c>
      <c r="G64" s="488" t="n"/>
      <c r="H64" s="489" t="n"/>
      <c r="I64" s="491" t="n"/>
      <c r="J64" s="593" t="n"/>
      <c r="K64" s="491" t="n"/>
      <c r="L64" s="492" t="n"/>
      <c r="M64" s="408" t="n"/>
      <c r="N64" s="379" t="n"/>
      <c r="O64" s="661" t="n"/>
      <c r="P64" s="464" t="n"/>
    </row>
    <row r="65" ht="31.2" customHeight="1">
      <c r="A65" s="364" t="n"/>
      <c r="B65" s="429" t="inlineStr">
        <is>
          <t>예 술</t>
        </is>
      </c>
      <c r="C65" s="471" t="inlineStr">
        <is>
          <t>진로</t>
        </is>
      </c>
      <c r="D65" s="390" t="inlineStr">
        <is>
          <t>음악 감상과 비평</t>
        </is>
      </c>
      <c r="E65" s="391">
        <f>IFERROR(VLOOKUP(D65, 기본학점, 2, FALSE), "")</f>
        <v/>
      </c>
      <c r="F65" s="392" t="n">
        <v>2</v>
      </c>
      <c r="G65" s="472" t="n"/>
      <c r="H65" s="473" t="n"/>
      <c r="I65" s="516" t="n"/>
      <c r="J65" s="299" t="inlineStr">
        <is>
          <t>2
(택1)</t>
        </is>
      </c>
      <c r="K65" s="516" t="n"/>
      <c r="L65" s="517" t="n"/>
      <c r="M65" s="477" t="n"/>
      <c r="N65" s="389" t="n"/>
      <c r="O65" s="661" t="n"/>
      <c r="P65" s="464" t="n"/>
    </row>
    <row r="66">
      <c r="A66" s="364" t="n"/>
      <c r="B66" s="365" t="n"/>
      <c r="C66" s="486" t="inlineStr">
        <is>
          <t>진로</t>
        </is>
      </c>
      <c r="D66" s="553" t="inlineStr">
        <is>
          <t>미술 감상과 비평</t>
        </is>
      </c>
      <c r="E66" s="554">
        <f>IFERROR(VLOOKUP(D66, 기본학점, 2, FALSE), "")</f>
        <v/>
      </c>
      <c r="F66" s="554" t="n">
        <v>2</v>
      </c>
      <c r="G66" s="545" t="n"/>
      <c r="H66" s="555" t="n"/>
      <c r="I66" s="556" t="n"/>
      <c r="J66" s="557" t="n"/>
      <c r="K66" s="558" t="n"/>
      <c r="L66" s="559" t="n"/>
      <c r="M66" s="560" t="n"/>
      <c r="N66" s="386" t="n"/>
      <c r="O66" s="661" t="n"/>
      <c r="P66" s="464" t="n"/>
    </row>
    <row r="67" ht="31.2" customHeight="1">
      <c r="A67" s="349" t="inlineStr">
        <is>
          <t xml:space="preserve">3
학년선택 </t>
        </is>
      </c>
      <c r="B67" s="576" t="inlineStr">
        <is>
          <t>국 어</t>
        </is>
      </c>
      <c r="C67" s="577" t="inlineStr">
        <is>
          <t>진로</t>
        </is>
      </c>
      <c r="D67" s="578" t="inlineStr">
        <is>
          <t>문학과 영상</t>
        </is>
      </c>
      <c r="E67" s="579">
        <f>IFERROR(VLOOKUP(D67, 기본학점, 2, FALSE), "")</f>
        <v/>
      </c>
      <c r="F67" s="580" t="n">
        <v>3</v>
      </c>
      <c r="G67" s="581" t="n"/>
      <c r="H67" s="582" t="n"/>
      <c r="I67" s="583" t="n"/>
      <c r="J67" s="633" t="n"/>
      <c r="K67" s="307" t="inlineStr">
        <is>
          <t>15
(택5)</t>
        </is>
      </c>
      <c r="L67" s="585" t="n"/>
      <c r="M67" s="586" t="n"/>
      <c r="N67" s="587" t="n"/>
      <c r="O67" s="588" t="n">
        <v>39</v>
      </c>
      <c r="P67" s="456" t="n"/>
    </row>
    <row r="68" ht="15.6" customHeight="1">
      <c r="A68" s="364" t="n"/>
      <c r="B68" s="429" t="inlineStr">
        <is>
          <t>수 학</t>
        </is>
      </c>
      <c r="C68" s="471" t="inlineStr">
        <is>
          <t>진로</t>
        </is>
      </c>
      <c r="D68" s="390" t="inlineStr">
        <is>
          <t>경제 수학</t>
        </is>
      </c>
      <c r="E68" s="391">
        <f>IFERROR(VLOOKUP(D68, 기본학점, 2, FALSE), "")</f>
        <v/>
      </c>
      <c r="F68" s="409" t="n">
        <v>3</v>
      </c>
      <c r="G68" s="472" t="n"/>
      <c r="H68" s="514" t="n"/>
      <c r="I68" s="516" t="n"/>
      <c r="J68" s="540" t="n"/>
      <c r="K68" s="589" t="n"/>
      <c r="L68" s="517" t="n"/>
      <c r="M68" s="477" t="n"/>
      <c r="N68" s="389" t="n"/>
      <c r="O68" s="646" t="n"/>
      <c r="P68" s="464" t="n"/>
    </row>
    <row r="69" ht="15.6" customHeight="1">
      <c r="A69" s="364" t="n"/>
      <c r="B69" s="505" t="n"/>
      <c r="C69" s="591" t="inlineStr">
        <is>
          <t>진로</t>
        </is>
      </c>
      <c r="D69" s="310" t="inlineStr">
        <is>
          <t>미적분Ⅱ</t>
        </is>
      </c>
      <c r="E69" s="426">
        <f>IFERROR(VLOOKUP(D69, 기본학점, 2, FALSE), "")</f>
        <v/>
      </c>
      <c r="F69" s="426" t="n">
        <v>3</v>
      </c>
      <c r="G69" s="592" t="n"/>
      <c r="H69" s="593" t="n"/>
      <c r="I69" s="594" t="n"/>
      <c r="J69" s="664" t="n"/>
      <c r="K69" s="589" t="n"/>
      <c r="L69" s="664" t="n"/>
      <c r="M69" s="512" t="n"/>
      <c r="N69" s="513" t="n"/>
      <c r="O69" s="646" t="n"/>
      <c r="P69" s="464" t="n"/>
    </row>
    <row r="70" ht="15.6" customHeight="1">
      <c r="A70" s="364" t="n"/>
      <c r="B70" s="505" t="inlineStr">
        <is>
          <t>영 어</t>
        </is>
      </c>
      <c r="C70" s="486" t="inlineStr">
        <is>
          <t>진로</t>
        </is>
      </c>
      <c r="D70" s="402" t="inlineStr">
        <is>
          <t>영미 문학 읽기</t>
        </is>
      </c>
      <c r="E70" s="380">
        <f>IFERROR(VLOOKUP(D70, 기본학점, 2, FALSE), "")</f>
        <v/>
      </c>
      <c r="F70" s="426" t="n">
        <v>3</v>
      </c>
      <c r="G70" s="466" t="n"/>
      <c r="H70" s="489" t="n"/>
      <c r="I70" s="139" t="n"/>
      <c r="J70" s="542" t="n"/>
      <c r="K70" s="589" t="n"/>
      <c r="L70" s="542" t="n"/>
      <c r="M70" s="408" t="n"/>
      <c r="N70" s="428" t="n"/>
      <c r="O70" s="646" t="n"/>
      <c r="P70" s="464" t="n"/>
    </row>
    <row r="71" ht="46.8" customHeight="1">
      <c r="A71" s="364" t="n"/>
      <c r="B71" s="429" t="inlineStr">
        <is>
          <t>사 회
(역사/도덕 포함)</t>
        </is>
      </c>
      <c r="C71" s="471" t="inlineStr">
        <is>
          <t>진로</t>
        </is>
      </c>
      <c r="D71" s="390" t="inlineStr">
        <is>
          <t xml:space="preserve">도시의 미래 탐구 </t>
        </is>
      </c>
      <c r="E71" s="391">
        <f>IFERROR(VLOOKUP(D71, 기본학점, 2, FALSE), "")</f>
        <v/>
      </c>
      <c r="F71" s="409" t="n">
        <v>3</v>
      </c>
      <c r="G71" s="472" t="n"/>
      <c r="H71" s="473" t="n"/>
      <c r="I71" s="543" t="n"/>
      <c r="J71" s="544" t="n"/>
      <c r="K71" s="589" t="n"/>
      <c r="L71" s="514" t="n"/>
      <c r="M71" s="477" t="n"/>
      <c r="N71" s="398" t="n"/>
      <c r="O71" s="646" t="n"/>
      <c r="P71" s="464" t="n"/>
    </row>
    <row r="72" ht="15.6" customHeight="1">
      <c r="A72" s="364" t="n"/>
      <c r="B72" s="365" t="n"/>
      <c r="C72" s="457" t="inlineStr">
        <is>
          <t>진로</t>
        </is>
      </c>
      <c r="D72" s="367" t="inlineStr">
        <is>
          <t>정치</t>
        </is>
      </c>
      <c r="E72" s="368">
        <f>IFERROR(VLOOKUP(D72, 기본학점, 2, FALSE), "")</f>
        <v/>
      </c>
      <c r="F72" s="369" t="n">
        <v>3</v>
      </c>
      <c r="G72" s="458" t="n"/>
      <c r="H72" s="459" t="n"/>
      <c r="I72" s="461" t="n"/>
      <c r="J72" s="462" t="n"/>
      <c r="K72" s="589" t="n"/>
      <c r="L72" s="482" t="n"/>
      <c r="M72" s="463" t="n"/>
      <c r="N72" s="361" t="n"/>
      <c r="O72" s="646" t="n"/>
      <c r="P72" s="464" t="n"/>
    </row>
    <row r="73" ht="15.6" customHeight="1">
      <c r="A73" s="364" t="n"/>
      <c r="B73" s="365" t="n"/>
      <c r="C73" s="457" t="inlineStr">
        <is>
          <t>진로</t>
        </is>
      </c>
      <c r="D73" s="367" t="inlineStr">
        <is>
          <t>인문학과 윤리</t>
        </is>
      </c>
      <c r="E73" s="368">
        <f>IFERROR(VLOOKUP(D73, 기본학점, 2, FALSE), "")</f>
        <v/>
      </c>
      <c r="F73" s="369" t="n">
        <v>3</v>
      </c>
      <c r="G73" s="458" t="n"/>
      <c r="H73" s="459" t="n"/>
      <c r="I73" s="461" t="n"/>
      <c r="J73" s="462" t="n"/>
      <c r="K73" s="589" t="n"/>
      <c r="L73" s="482" t="n"/>
      <c r="M73" s="463" t="n"/>
      <c r="N73" s="361" t="n"/>
      <c r="O73" s="646" t="n"/>
      <c r="P73" s="464" t="n"/>
    </row>
    <row r="74" ht="15.6" customHeight="1">
      <c r="A74" s="364" t="n"/>
      <c r="B74" s="505" t="n"/>
      <c r="C74" s="465" t="inlineStr">
        <is>
          <t>진로</t>
        </is>
      </c>
      <c r="D74" s="402" t="inlineStr">
        <is>
          <t>국제 관계의 이해</t>
        </is>
      </c>
      <c r="E74" s="380">
        <f>IFERROR(VLOOKUP(D74, 기본학점, 2, FALSE), "")</f>
        <v/>
      </c>
      <c r="F74" s="380" t="n">
        <v>3</v>
      </c>
      <c r="G74" s="466" t="n"/>
      <c r="H74" s="467" t="n"/>
      <c r="I74" s="596" t="n"/>
      <c r="J74" s="597" t="n"/>
      <c r="K74" s="589" t="n"/>
      <c r="L74" s="597" t="n"/>
      <c r="M74" s="408" t="n"/>
      <c r="N74" s="379" t="n"/>
      <c r="O74" s="646" t="n"/>
      <c r="P74" s="464" t="n"/>
    </row>
    <row r="75" ht="15.6" customHeight="1">
      <c r="A75" s="364" t="n"/>
      <c r="B75" s="429" t="inlineStr">
        <is>
          <t>과 학</t>
        </is>
      </c>
      <c r="C75" s="471" t="inlineStr">
        <is>
          <t>진로</t>
        </is>
      </c>
      <c r="D75" s="390" t="inlineStr">
        <is>
          <t>전자기와 양자</t>
        </is>
      </c>
      <c r="E75" s="391">
        <f>IFERROR(VLOOKUP(D75, 기본학점, 2, FALSE), "")</f>
        <v/>
      </c>
      <c r="F75" s="409" t="n">
        <v>3</v>
      </c>
      <c r="G75" s="472" t="n"/>
      <c r="H75" s="473" t="n"/>
      <c r="I75" s="598" t="n"/>
      <c r="J75" s="599" t="n"/>
      <c r="K75" s="589" t="n"/>
      <c r="L75" s="476" t="n"/>
      <c r="M75" s="477" t="n"/>
      <c r="N75" s="398" t="n"/>
      <c r="O75" s="646" t="n"/>
      <c r="P75" s="464" t="n"/>
    </row>
    <row r="76" ht="15.6" customHeight="1">
      <c r="A76" s="364" t="n"/>
      <c r="B76" s="365" t="n"/>
      <c r="C76" s="457" t="inlineStr">
        <is>
          <t>진로</t>
        </is>
      </c>
      <c r="D76" s="367" t="inlineStr">
        <is>
          <t>화학 반응의 세계</t>
        </is>
      </c>
      <c r="E76" s="368">
        <f>IFERROR(VLOOKUP(D76, 기본학점, 2, FALSE), "")</f>
        <v/>
      </c>
      <c r="F76" s="369" t="n">
        <v>3</v>
      </c>
      <c r="G76" s="458" t="n"/>
      <c r="H76" s="459" t="n"/>
      <c r="I76" s="551" t="n"/>
      <c r="J76" s="600" t="n"/>
      <c r="K76" s="589" t="n"/>
      <c r="L76" s="480" t="n"/>
      <c r="M76" s="463" t="n"/>
      <c r="N76" s="361" t="n"/>
      <c r="O76" s="646" t="n"/>
      <c r="P76" s="464" t="n"/>
    </row>
    <row r="77" ht="15.6" customHeight="1">
      <c r="A77" s="364" t="n"/>
      <c r="B77" s="365" t="n"/>
      <c r="C77" s="457" t="inlineStr">
        <is>
          <t>진로</t>
        </is>
      </c>
      <c r="D77" s="367" t="inlineStr">
        <is>
          <t>생물의 유전</t>
        </is>
      </c>
      <c r="E77" s="368">
        <f>IFERROR(VLOOKUP(D77, 기본학점, 2, FALSE), "")</f>
        <v/>
      </c>
      <c r="F77" s="369" t="n">
        <v>3</v>
      </c>
      <c r="G77" s="481" t="n"/>
      <c r="H77" s="482" t="n"/>
      <c r="I77" s="550" t="n"/>
      <c r="J77" s="601" t="n"/>
      <c r="K77" s="589" t="n"/>
      <c r="L77" s="485" t="n"/>
      <c r="M77" s="463" t="n"/>
      <c r="N77" s="361" t="n"/>
      <c r="O77" s="646" t="n"/>
      <c r="P77" s="464" t="n"/>
    </row>
    <row r="78" ht="15.6" customHeight="1">
      <c r="A78" s="364" t="n"/>
      <c r="B78" s="505" t="n"/>
      <c r="C78" s="486" t="inlineStr">
        <is>
          <t>진로</t>
        </is>
      </c>
      <c r="D78" s="402" t="inlineStr">
        <is>
          <t>행성우주과학</t>
        </is>
      </c>
      <c r="E78" s="380">
        <f>IFERROR(VLOOKUP(D78, 기본학점, 2, FALSE), "")</f>
        <v/>
      </c>
      <c r="F78" s="381" t="n">
        <v>3</v>
      </c>
      <c r="G78" s="488" t="n"/>
      <c r="H78" s="489" t="n"/>
      <c r="I78" s="139" t="n"/>
      <c r="J78" s="542" t="n"/>
      <c r="K78" s="589" t="n"/>
      <c r="L78" s="542" t="n"/>
      <c r="M78" s="408" t="n"/>
      <c r="N78" s="386" t="n"/>
      <c r="O78" s="646" t="n"/>
      <c r="P78" s="464" t="n"/>
    </row>
    <row r="79" ht="31.2" customHeight="1">
      <c r="A79" s="364" t="n"/>
      <c r="B79" s="429" t="inlineStr">
        <is>
          <t>기술∙가정/정보</t>
        </is>
      </c>
      <c r="C79" s="471" t="inlineStr">
        <is>
          <t>융합</t>
        </is>
      </c>
      <c r="D79" s="390" t="inlineStr">
        <is>
          <t>소프트웨어와 생활</t>
        </is>
      </c>
      <c r="E79" s="391">
        <f>IFERROR(VLOOKUP(D79, 기본학점, 2, FALSE), "")</f>
        <v/>
      </c>
      <c r="F79" s="409" t="n">
        <v>3</v>
      </c>
      <c r="G79" s="602" t="n"/>
      <c r="H79" s="514" t="n"/>
      <c r="I79" s="516" t="n"/>
      <c r="J79" s="540" t="n"/>
      <c r="K79" s="589" t="n"/>
      <c r="L79" s="517" t="n"/>
      <c r="M79" s="477" t="n"/>
      <c r="N79" s="389" t="n"/>
      <c r="O79" s="646" t="n"/>
      <c r="P79" s="464" t="n"/>
    </row>
    <row r="80" ht="31.2" customHeight="1">
      <c r="A80" s="364" t="n"/>
      <c r="B80" s="429" t="inlineStr">
        <is>
          <t>제2외국어/한문</t>
        </is>
      </c>
      <c r="C80" s="471" t="inlineStr">
        <is>
          <t>일반</t>
        </is>
      </c>
      <c r="D80" s="390" t="inlineStr">
        <is>
          <t>중국어</t>
        </is>
      </c>
      <c r="E80" s="391">
        <f>IFERROR(VLOOKUP(D80, 기본학점, 2, FALSE), "")</f>
        <v/>
      </c>
      <c r="F80" s="392" t="n">
        <v>3</v>
      </c>
      <c r="G80" s="472" t="n"/>
      <c r="H80" s="514" t="n"/>
      <c r="I80" s="516" t="n"/>
      <c r="J80" s="540" t="n"/>
      <c r="K80" s="589" t="n"/>
      <c r="L80" s="517" t="n"/>
      <c r="M80" s="477" t="n"/>
      <c r="N80" s="389" t="n"/>
      <c r="O80" s="646" t="n"/>
      <c r="P80" s="464" t="n"/>
    </row>
    <row r="81" ht="15.6" customHeight="1">
      <c r="A81" s="364" t="n"/>
      <c r="B81" s="505" t="n"/>
      <c r="C81" s="486" t="inlineStr">
        <is>
          <t>일반</t>
        </is>
      </c>
      <c r="D81" s="402" t="inlineStr">
        <is>
          <t xml:space="preserve">일본어 </t>
        </is>
      </c>
      <c r="E81" s="380">
        <f>IFERROR(VLOOKUP(D81, 기본학점, 2, FALSE), "")</f>
        <v/>
      </c>
      <c r="F81" s="381" t="n">
        <v>3</v>
      </c>
      <c r="G81" s="466" t="n"/>
      <c r="H81" s="489" t="n"/>
      <c r="I81" s="139" t="n"/>
      <c r="J81" s="542" t="n"/>
      <c r="K81" s="589" t="n"/>
      <c r="L81" s="542" t="n"/>
      <c r="M81" s="408" t="n"/>
      <c r="N81" s="379" t="n"/>
      <c r="O81" s="646" t="n"/>
      <c r="P81" s="464" t="n"/>
    </row>
    <row r="82" ht="15.6" customHeight="1">
      <c r="A82" s="364" t="n"/>
      <c r="B82" s="429" t="inlineStr">
        <is>
          <t>교 양</t>
        </is>
      </c>
      <c r="C82" s="471" t="inlineStr">
        <is>
          <t>일반</t>
        </is>
      </c>
      <c r="D82" s="390" t="inlineStr">
        <is>
          <t>생태와 환경</t>
        </is>
      </c>
      <c r="E82" s="391">
        <f>IFERROR(VLOOKUP(D82, 기본학점, 2, FALSE), "")</f>
        <v/>
      </c>
      <c r="F82" s="392" t="n">
        <v>3</v>
      </c>
      <c r="G82" s="472" t="n"/>
      <c r="H82" s="514" t="n"/>
      <c r="I82" s="516" t="n"/>
      <c r="J82" s="540" t="n"/>
      <c r="K82" s="589" t="n"/>
      <c r="L82" s="517" t="n"/>
      <c r="M82" s="477" t="n"/>
      <c r="N82" s="398" t="n"/>
      <c r="O82" s="646" t="n"/>
      <c r="P82" s="464" t="n"/>
    </row>
    <row r="83" ht="15.6" customHeight="1">
      <c r="A83" s="364" t="n"/>
      <c r="B83" s="518" t="n"/>
      <c r="C83" s="567" t="inlineStr">
        <is>
          <t>진로</t>
        </is>
      </c>
      <c r="D83" s="553" t="inlineStr">
        <is>
          <t xml:space="preserve">교육의 이해 </t>
        </is>
      </c>
      <c r="E83" s="554">
        <f>IFERROR(VLOOKUP(D83, 기본학점, 2, FALSE), "")</f>
        <v/>
      </c>
      <c r="F83" s="521" t="n">
        <v>3</v>
      </c>
      <c r="G83" s="570" t="n"/>
      <c r="H83" s="571" t="n"/>
      <c r="I83" s="556" t="n"/>
      <c r="J83" s="573" t="n"/>
      <c r="K83" s="603" t="n"/>
      <c r="L83" s="604" t="n"/>
      <c r="M83" s="528" t="n"/>
      <c r="N83" s="386" t="n"/>
      <c r="O83" s="646" t="n"/>
      <c r="P83" s="464" t="n"/>
    </row>
    <row r="84" ht="31.2" customHeight="1">
      <c r="A84" s="605" t="n"/>
      <c r="B84" s="529" t="inlineStr">
        <is>
          <t>국 어</t>
        </is>
      </c>
      <c r="C84" s="444" t="inlineStr">
        <is>
          <t>융합</t>
        </is>
      </c>
      <c r="D84" s="352" t="inlineStr">
        <is>
          <t>독서 토론과 글쓰기</t>
        </is>
      </c>
      <c r="E84" s="606">
        <f>IFERROR(VLOOKUP(D84, 기본학점, 2, FALSE), "")</f>
        <v/>
      </c>
      <c r="F84" s="606" t="n">
        <v>3</v>
      </c>
      <c r="G84" s="447" t="n"/>
      <c r="H84" s="534" t="n"/>
      <c r="I84" s="607" t="n"/>
      <c r="J84" s="537" t="n"/>
      <c r="K84" s="608" t="n"/>
      <c r="L84" s="296" t="inlineStr">
        <is>
          <t>24
(택8)</t>
        </is>
      </c>
      <c r="M84" s="453" t="n"/>
      <c r="N84" s="609" t="n"/>
      <c r="O84" s="610" t="n"/>
      <c r="P84" s="611" t="n"/>
    </row>
    <row r="85">
      <c r="A85" s="605" t="n"/>
      <c r="B85" s="505" t="n"/>
      <c r="C85" s="465" t="inlineStr">
        <is>
          <t>융합</t>
        </is>
      </c>
      <c r="D85" s="402" t="inlineStr">
        <is>
          <t xml:space="preserve">매체 의사소통 </t>
        </is>
      </c>
      <c r="E85" s="426">
        <f>IFERROR(VLOOKUP(D85, 기본학점, 2, FALSE), "")</f>
        <v/>
      </c>
      <c r="F85" s="380" t="n">
        <v>3</v>
      </c>
      <c r="G85" s="592" t="n"/>
      <c r="H85" s="593" t="n"/>
      <c r="I85" s="612" t="n"/>
      <c r="J85" s="664" t="n"/>
      <c r="K85" s="663" t="n"/>
      <c r="L85" s="297" t="n"/>
      <c r="M85" s="408" t="n"/>
      <c r="N85" s="379" t="n"/>
      <c r="O85" s="610" t="n"/>
      <c r="P85" s="611" t="n"/>
    </row>
    <row r="86">
      <c r="A86" s="605" t="n"/>
      <c r="B86" s="365" t="inlineStr">
        <is>
          <t>수 학</t>
        </is>
      </c>
      <c r="C86" s="530" t="inlineStr">
        <is>
          <t>융합</t>
        </is>
      </c>
      <c r="D86" s="367" t="inlineStr">
        <is>
          <t xml:space="preserve">수학과 문화 </t>
        </is>
      </c>
      <c r="E86" s="368">
        <f>IFERROR(VLOOKUP(D86, 기본학점, 2, FALSE), "")</f>
        <v/>
      </c>
      <c r="F86" s="354" t="n">
        <v>3</v>
      </c>
      <c r="G86" s="458" t="n"/>
      <c r="H86" s="482" t="n"/>
      <c r="I86" s="614" t="n"/>
      <c r="J86" s="601" t="n"/>
      <c r="K86" s="615" t="n"/>
      <c r="L86" s="297" t="n"/>
      <c r="M86" s="463" t="n"/>
      <c r="N86" s="361" t="n"/>
      <c r="O86" s="610" t="n"/>
      <c r="P86" s="611" t="n"/>
    </row>
    <row r="87">
      <c r="A87" s="605" t="n"/>
      <c r="B87" s="365" t="n"/>
      <c r="C87" s="457" t="inlineStr">
        <is>
          <t>융합</t>
        </is>
      </c>
      <c r="D87" s="367" t="inlineStr">
        <is>
          <t>실용 통계</t>
        </is>
      </c>
      <c r="E87" s="368">
        <f>IFERROR(VLOOKUP(D87, 기본학점, 2, FALSE), "")</f>
        <v/>
      </c>
      <c r="F87" s="369" t="n">
        <v>3</v>
      </c>
      <c r="G87" s="458" t="n"/>
      <c r="H87" s="482" t="n"/>
      <c r="I87" s="614" t="n"/>
      <c r="J87" s="601" t="n"/>
      <c r="K87" s="615" t="n"/>
      <c r="L87" s="297" t="n"/>
      <c r="M87" s="463" t="n"/>
      <c r="N87" s="361" t="n"/>
      <c r="O87" s="610" t="n"/>
      <c r="P87" s="611" t="n"/>
    </row>
    <row r="88">
      <c r="A88" s="605" t="n"/>
      <c r="B88" s="505" t="n"/>
      <c r="C88" s="465" t="inlineStr">
        <is>
          <t>융합</t>
        </is>
      </c>
      <c r="D88" s="402" t="inlineStr">
        <is>
          <t>수학과제 탐구</t>
        </is>
      </c>
      <c r="E88" s="380">
        <f>IFERROR(VLOOKUP(D88, 기본학점, 2, FALSE), "")</f>
        <v/>
      </c>
      <c r="F88" s="381" t="n">
        <v>3</v>
      </c>
      <c r="G88" s="466" t="n"/>
      <c r="H88" s="489" t="n"/>
      <c r="I88" s="616" t="n"/>
      <c r="J88" s="542" t="n"/>
      <c r="K88" s="617" t="n"/>
      <c r="L88" s="297" t="n"/>
      <c r="M88" s="408" t="n"/>
      <c r="N88" s="386" t="n"/>
      <c r="O88" s="610" t="n"/>
      <c r="P88" s="611" t="n"/>
    </row>
    <row r="89">
      <c r="A89" s="605" t="n"/>
      <c r="B89" s="429" t="inlineStr">
        <is>
          <t>영 어</t>
        </is>
      </c>
      <c r="C89" s="471" t="inlineStr">
        <is>
          <t>진로</t>
        </is>
      </c>
      <c r="D89" s="390" t="inlineStr">
        <is>
          <t xml:space="preserve">심화 영어 </t>
        </is>
      </c>
      <c r="E89" s="391">
        <f>IFERROR(VLOOKUP(D89, 기본학점, 2, FALSE), "")</f>
        <v/>
      </c>
      <c r="F89" s="392" t="n">
        <v>3</v>
      </c>
      <c r="G89" s="472" t="n"/>
      <c r="H89" s="514" t="n"/>
      <c r="I89" s="475" t="n"/>
      <c r="J89" s="517" t="n"/>
      <c r="K89" s="515" t="n"/>
      <c r="L89" s="297" t="n"/>
      <c r="M89" s="477" t="n"/>
      <c r="N89" s="389" t="n"/>
      <c r="O89" s="610" t="n"/>
      <c r="P89" s="611" t="n"/>
    </row>
    <row r="90">
      <c r="A90" s="605" t="n"/>
      <c r="B90" s="365" t="n"/>
      <c r="C90" s="457" t="inlineStr">
        <is>
          <t>융합</t>
        </is>
      </c>
      <c r="D90" s="367" t="inlineStr">
        <is>
          <t xml:space="preserve">미디어 영어 </t>
        </is>
      </c>
      <c r="E90" s="368">
        <f>IFERROR(VLOOKUP(D90, 기본학점, 2, FALSE), "")</f>
        <v/>
      </c>
      <c r="F90" s="369" t="n">
        <v>3</v>
      </c>
      <c r="G90" s="458" t="n"/>
      <c r="H90" s="482" t="n"/>
      <c r="I90" s="479" t="n"/>
      <c r="J90" s="485" t="n"/>
      <c r="K90" s="618" t="n"/>
      <c r="L90" s="297" t="n"/>
      <c r="M90" s="463" t="n"/>
      <c r="N90" s="361" t="n"/>
      <c r="O90" s="610" t="n"/>
      <c r="P90" s="611" t="n"/>
    </row>
    <row r="91">
      <c r="A91" s="605" t="n"/>
      <c r="B91" s="505" t="n"/>
      <c r="C91" s="465" t="inlineStr">
        <is>
          <t>진로</t>
        </is>
      </c>
      <c r="D91" s="402" t="inlineStr">
        <is>
          <t>영어 발표와 토론</t>
        </is>
      </c>
      <c r="E91" s="380">
        <f>IFERROR(VLOOKUP(D91, 기본학점, 2, FALSE), "")</f>
        <v/>
      </c>
      <c r="F91" s="380" t="n">
        <v>3</v>
      </c>
      <c r="G91" s="466" t="n"/>
      <c r="H91" s="489" t="n"/>
      <c r="I91" s="541" t="n"/>
      <c r="J91" s="492" t="n"/>
      <c r="K91" s="619" t="n"/>
      <c r="L91" s="297" t="n"/>
      <c r="M91" s="408" t="n"/>
      <c r="N91" s="379" t="n"/>
      <c r="O91" s="610" t="n"/>
      <c r="P91" s="611" t="n"/>
    </row>
    <row r="92" ht="46.8" customHeight="1">
      <c r="A92" s="605" t="n"/>
      <c r="B92" s="429" t="inlineStr">
        <is>
          <t>사 회
(역사/도덕 포함)</t>
        </is>
      </c>
      <c r="C92" s="471" t="inlineStr">
        <is>
          <t>융합</t>
        </is>
      </c>
      <c r="D92" s="390" t="inlineStr">
        <is>
          <t>여행지리</t>
        </is>
      </c>
      <c r="E92" s="391">
        <f>IFERROR(VLOOKUP(D92, 기본학점, 2, FALSE), "")</f>
        <v/>
      </c>
      <c r="F92" s="409" t="n">
        <v>3</v>
      </c>
      <c r="G92" s="472" t="n"/>
      <c r="H92" s="473" t="n"/>
      <c r="I92" s="543" t="n"/>
      <c r="J92" s="544" t="n"/>
      <c r="K92" s="620" t="n"/>
      <c r="L92" s="297" t="n"/>
      <c r="M92" s="477" t="n"/>
      <c r="N92" s="398" t="n"/>
      <c r="O92" s="610" t="n"/>
      <c r="P92" s="611" t="n"/>
    </row>
    <row r="93">
      <c r="A93" s="605" t="n"/>
      <c r="B93" s="365" t="n"/>
      <c r="C93" s="457" t="inlineStr">
        <is>
          <t>융합</t>
        </is>
      </c>
      <c r="D93" s="367" t="inlineStr">
        <is>
          <t>역사로 탐구하는 현대 세계</t>
        </is>
      </c>
      <c r="E93" s="368">
        <f>IFERROR(VLOOKUP(D93, 기본학점, 2, FALSE), "")</f>
        <v/>
      </c>
      <c r="F93" s="369" t="n">
        <v>3</v>
      </c>
      <c r="G93" s="458" t="n"/>
      <c r="H93" s="459" t="n"/>
      <c r="I93" s="461" t="n"/>
      <c r="J93" s="462" t="n"/>
      <c r="K93" s="621" t="n"/>
      <c r="L93" s="297" t="n"/>
      <c r="M93" s="463" t="n"/>
      <c r="N93" s="361" t="n"/>
      <c r="O93" s="610" t="n"/>
      <c r="P93" s="611" t="n"/>
    </row>
    <row r="94">
      <c r="A94" s="605" t="n"/>
      <c r="B94" s="365" t="n"/>
      <c r="C94" s="457" t="inlineStr">
        <is>
          <t>융합</t>
        </is>
      </c>
      <c r="D94" s="367" t="inlineStr">
        <is>
          <t>사회문제 탐구</t>
        </is>
      </c>
      <c r="E94" s="400">
        <f>IFERROR(VLOOKUP(D94, 기본학점, 2, FALSE), "")</f>
        <v/>
      </c>
      <c r="F94" s="354" t="n">
        <v>3</v>
      </c>
      <c r="G94" s="458" t="n"/>
      <c r="H94" s="459" t="n"/>
      <c r="I94" s="461" t="n"/>
      <c r="J94" s="462" t="n"/>
      <c r="K94" s="621" t="n"/>
      <c r="L94" s="297" t="n"/>
      <c r="M94" s="463" t="n"/>
      <c r="N94" s="361" t="n"/>
      <c r="O94" s="610" t="n"/>
      <c r="P94" s="611" t="n"/>
    </row>
    <row r="95">
      <c r="A95" s="605" t="n"/>
      <c r="B95" s="365" t="n"/>
      <c r="C95" s="457" t="inlineStr">
        <is>
          <t>융합</t>
        </is>
      </c>
      <c r="D95" s="367" t="inlineStr">
        <is>
          <t>금융과 경제생활</t>
        </is>
      </c>
      <c r="E95" s="353">
        <f>IFERROR(VLOOKUP(D95, 기본학점, 2, FALSE), "")</f>
        <v/>
      </c>
      <c r="F95" s="369" t="n">
        <v>3</v>
      </c>
      <c r="G95" s="458" t="n"/>
      <c r="H95" s="459" t="n"/>
      <c r="I95" s="461" t="n"/>
      <c r="J95" s="462" t="n"/>
      <c r="K95" s="621" t="n"/>
      <c r="L95" s="297" t="n"/>
      <c r="M95" s="463" t="n"/>
      <c r="N95" s="361" t="n"/>
      <c r="O95" s="610" t="n"/>
      <c r="P95" s="611" t="n"/>
    </row>
    <row r="96">
      <c r="A96" s="605" t="n"/>
      <c r="B96" s="365" t="n"/>
      <c r="C96" s="457" t="inlineStr">
        <is>
          <t>융합</t>
        </is>
      </c>
      <c r="D96" s="367" t="inlineStr">
        <is>
          <t>윤리문제 탐구</t>
        </is>
      </c>
      <c r="E96" s="368">
        <f>IFERROR(VLOOKUP(D96, 기본학점, 2, FALSE), "")</f>
        <v/>
      </c>
      <c r="F96" s="369" t="n">
        <v>3</v>
      </c>
      <c r="G96" s="458" t="n"/>
      <c r="H96" s="459" t="n"/>
      <c r="I96" s="461" t="n"/>
      <c r="J96" s="462" t="n"/>
      <c r="K96" s="621" t="n"/>
      <c r="L96" s="297" t="n"/>
      <c r="M96" s="463" t="n"/>
      <c r="N96" s="361" t="n"/>
      <c r="O96" s="610" t="n"/>
      <c r="P96" s="611" t="n"/>
    </row>
    <row r="97">
      <c r="A97" s="605" t="n"/>
      <c r="B97" s="505" t="n"/>
      <c r="C97" s="465" t="inlineStr">
        <is>
          <t>융합</t>
        </is>
      </c>
      <c r="D97" s="402" t="inlineStr">
        <is>
          <t>기후변화와 지속가능한 세계</t>
        </is>
      </c>
      <c r="E97" s="380">
        <f>IFERROR(VLOOKUP(D97, 기본학점, 2, FALSE), "")</f>
        <v/>
      </c>
      <c r="F97" s="380" t="n">
        <v>3</v>
      </c>
      <c r="G97" s="466" t="n"/>
      <c r="H97" s="467" t="n"/>
      <c r="I97" s="596" t="n"/>
      <c r="J97" s="597" t="n"/>
      <c r="K97" s="622" t="n"/>
      <c r="L97" s="297" t="n"/>
      <c r="M97" s="408" t="n"/>
      <c r="N97" s="379" t="n"/>
      <c r="O97" s="610" t="n"/>
      <c r="P97" s="611" t="n"/>
    </row>
    <row r="98">
      <c r="A98" s="605" t="n"/>
      <c r="B98" s="429" t="inlineStr">
        <is>
          <t>과 학</t>
        </is>
      </c>
      <c r="C98" s="471" t="inlineStr">
        <is>
          <t>융합</t>
        </is>
      </c>
      <c r="D98" s="390" t="inlineStr">
        <is>
          <t>과학의 역사와 문화</t>
        </is>
      </c>
      <c r="E98" s="391">
        <f>IFERROR(VLOOKUP(D98, 기본학점, 2, FALSE), "")</f>
        <v/>
      </c>
      <c r="F98" s="409" t="n">
        <v>3</v>
      </c>
      <c r="G98" s="472" t="n"/>
      <c r="H98" s="473" t="n"/>
      <c r="I98" s="475" t="n"/>
      <c r="J98" s="476" t="n"/>
      <c r="K98" s="623" t="n"/>
      <c r="L98" s="297" t="n"/>
      <c r="M98" s="477" t="n"/>
      <c r="N98" s="398" t="n"/>
      <c r="O98" s="610" t="n"/>
      <c r="P98" s="611" t="n"/>
    </row>
    <row r="99">
      <c r="A99" s="605" t="n"/>
      <c r="B99" s="505" t="n"/>
      <c r="C99" s="465" t="inlineStr">
        <is>
          <t>융합</t>
        </is>
      </c>
      <c r="D99" s="402" t="inlineStr">
        <is>
          <t>기후변화와 환경생태</t>
        </is>
      </c>
      <c r="E99" s="380">
        <f>IFERROR(VLOOKUP(D99, 기본학점, 2, FALSE), "")</f>
        <v/>
      </c>
      <c r="F99" s="381" t="n">
        <v>3</v>
      </c>
      <c r="G99" s="488" t="n"/>
      <c r="H99" s="489" t="n"/>
      <c r="I99" s="491" t="n"/>
      <c r="J99" s="492" t="n"/>
      <c r="K99" s="619" t="n"/>
      <c r="L99" s="297" t="n"/>
      <c r="M99" s="408" t="n"/>
      <c r="N99" s="386" t="n"/>
      <c r="O99" s="610" t="n"/>
      <c r="P99" s="611" t="n"/>
    </row>
    <row r="100">
      <c r="A100" s="605" t="n"/>
      <c r="B100" s="429" t="inlineStr">
        <is>
          <t>예 술</t>
        </is>
      </c>
      <c r="C100" s="471" t="inlineStr">
        <is>
          <t>융합</t>
        </is>
      </c>
      <c r="D100" s="390" t="inlineStr">
        <is>
          <t>음악과 미디어</t>
        </is>
      </c>
      <c r="E100" s="391">
        <f>IFERROR(VLOOKUP(D100, 기본학점, 2, FALSE), "")</f>
        <v/>
      </c>
      <c r="F100" s="392" t="n">
        <v>3</v>
      </c>
      <c r="G100" s="602" t="n"/>
      <c r="H100" s="473" t="n"/>
      <c r="I100" s="598" t="n"/>
      <c r="J100" s="476" t="n"/>
      <c r="K100" s="623" t="n"/>
      <c r="L100" s="297" t="n"/>
      <c r="M100" s="477" t="n"/>
      <c r="N100" s="398" t="n"/>
      <c r="O100" s="610" t="n"/>
      <c r="P100" s="611" t="n"/>
    </row>
    <row r="101">
      <c r="A101" s="605" t="n"/>
      <c r="B101" s="505" t="n"/>
      <c r="C101" s="486" t="inlineStr">
        <is>
          <t>융합</t>
        </is>
      </c>
      <c r="D101" s="402" t="inlineStr">
        <is>
          <t>미술과 매체</t>
        </is>
      </c>
      <c r="E101" s="380">
        <f>IFERROR(VLOOKUP(D101, 기본학점, 2, FALSE), "")</f>
        <v/>
      </c>
      <c r="F101" s="380" t="n">
        <v>3</v>
      </c>
      <c r="G101" s="466" t="n"/>
      <c r="H101" s="489" t="n"/>
      <c r="I101" s="541" t="n"/>
      <c r="J101" s="492" t="n"/>
      <c r="K101" s="619" t="n"/>
      <c r="L101" s="297" t="n"/>
      <c r="M101" s="408" t="n"/>
      <c r="N101" s="386" t="n"/>
      <c r="O101" s="610" t="n"/>
      <c r="P101" s="611" t="n"/>
    </row>
    <row r="102" ht="31.2" customHeight="1">
      <c r="A102" s="605" t="n"/>
      <c r="B102" s="429" t="inlineStr">
        <is>
          <t>제2외국어/한문</t>
        </is>
      </c>
      <c r="C102" s="471" t="inlineStr">
        <is>
          <t>진로</t>
        </is>
      </c>
      <c r="D102" s="390" t="inlineStr">
        <is>
          <t xml:space="preserve">중국어 회화 </t>
        </is>
      </c>
      <c r="E102" s="391">
        <f>IFERROR(VLOOKUP(D102, 기본학점, 2, FALSE), "")</f>
        <v/>
      </c>
      <c r="F102" s="409" t="n">
        <v>3</v>
      </c>
      <c r="G102" s="472" t="n"/>
      <c r="H102" s="514" t="n"/>
      <c r="I102" s="475" t="n"/>
      <c r="J102" s="517" t="n"/>
      <c r="K102" s="515" t="n"/>
      <c r="L102" s="297" t="n"/>
      <c r="M102" s="477" t="n"/>
      <c r="N102" s="389" t="n"/>
      <c r="O102" s="610" t="n"/>
      <c r="P102" s="611" t="n"/>
    </row>
    <row r="103">
      <c r="A103" s="605" t="n"/>
      <c r="B103" s="505" t="n"/>
      <c r="C103" s="486" t="inlineStr">
        <is>
          <t>진로</t>
        </is>
      </c>
      <c r="D103" s="402" t="inlineStr">
        <is>
          <t>일본어 회화</t>
        </is>
      </c>
      <c r="E103" s="380">
        <f>IFERROR(VLOOKUP(D103, 기본학점, 2, FALSE), "")</f>
        <v/>
      </c>
      <c r="F103" s="381" t="n">
        <v>3</v>
      </c>
      <c r="G103" s="466" t="n"/>
      <c r="H103" s="489" t="n"/>
      <c r="I103" s="541" t="n"/>
      <c r="J103" s="492" t="n"/>
      <c r="K103" s="619" t="n"/>
      <c r="L103" s="297" t="n"/>
      <c r="M103" s="408" t="n"/>
      <c r="N103" s="386" t="n"/>
      <c r="O103" s="610" t="n"/>
      <c r="P103" s="611" t="n"/>
    </row>
    <row r="104">
      <c r="A104" s="605" t="n"/>
      <c r="B104" s="429" t="inlineStr">
        <is>
          <t>교 양</t>
        </is>
      </c>
      <c r="C104" s="471" t="inlineStr">
        <is>
          <t>진로</t>
        </is>
      </c>
      <c r="D104" s="390" t="inlineStr">
        <is>
          <t xml:space="preserve">논리와 사고 </t>
        </is>
      </c>
      <c r="E104" s="391">
        <f>IFERROR(VLOOKUP(D104, 기본학점, 2, FALSE), "")</f>
        <v/>
      </c>
      <c r="F104" s="392" t="n">
        <v>3</v>
      </c>
      <c r="G104" s="472" t="n"/>
      <c r="H104" s="514" t="n"/>
      <c r="I104" s="475" t="n"/>
      <c r="J104" s="517" t="n"/>
      <c r="K104" s="515" t="n"/>
      <c r="L104" s="297" t="n"/>
      <c r="M104" s="477" t="n"/>
      <c r="N104" s="389" t="n"/>
      <c r="O104" s="610" t="n"/>
      <c r="P104" s="611" t="n"/>
    </row>
    <row r="105">
      <c r="A105" s="605" t="n"/>
      <c r="B105" s="365" t="n"/>
      <c r="C105" s="457" t="inlineStr">
        <is>
          <t>진로</t>
        </is>
      </c>
      <c r="D105" s="367" t="inlineStr">
        <is>
          <t>보건</t>
        </is>
      </c>
      <c r="E105" s="368">
        <f>IFERROR(VLOOKUP(D105, 기본학점, 2, FALSE), "")</f>
        <v/>
      </c>
      <c r="F105" s="554" t="n">
        <v>3</v>
      </c>
      <c r="G105" s="458" t="n"/>
      <c r="H105" s="482" t="n"/>
      <c r="I105" s="479" t="n"/>
      <c r="J105" s="485" t="n"/>
      <c r="K105" s="618" t="n"/>
      <c r="L105" s="297" t="n"/>
      <c r="M105" s="463" t="n"/>
      <c r="N105" s="361" t="n"/>
      <c r="O105" s="610" t="n"/>
      <c r="P105" s="611" t="n"/>
    </row>
    <row r="106">
      <c r="A106" s="605" t="n"/>
      <c r="B106" s="518" t="n"/>
      <c r="C106" s="567" t="inlineStr">
        <is>
          <t>융합</t>
        </is>
      </c>
      <c r="D106" s="520" t="inlineStr">
        <is>
          <t xml:space="preserve">인간과 경제활동 </t>
        </is>
      </c>
      <c r="E106" s="521">
        <f>IFERROR(VLOOKUP(D106, 기본학점, 2, FALSE), "")</f>
        <v/>
      </c>
      <c r="F106" s="521" t="n">
        <v>3</v>
      </c>
      <c r="G106" s="570" t="n"/>
      <c r="H106" s="571" t="n"/>
      <c r="I106" s="556" t="n"/>
      <c r="J106" s="573" t="n"/>
      <c r="K106" s="626" t="n"/>
      <c r="L106" s="627" t="n"/>
      <c r="M106" s="662" t="n"/>
      <c r="N106" s="574" t="n"/>
      <c r="O106" s="610" t="n"/>
      <c r="P106" s="611" t="n"/>
    </row>
    <row r="107" ht="31.2" customHeight="1">
      <c r="A107" s="631" t="inlineStr">
        <is>
          <t>교과 이수 학점 소계</t>
        </is>
      </c>
      <c r="B107" s="663" t="n"/>
      <c r="C107" s="663" t="n"/>
      <c r="D107" s="663" t="n"/>
      <c r="E107" s="664" t="n"/>
      <c r="F107" s="665" t="n"/>
      <c r="G107" s="666">
        <f>SUM(G7:G105)</f>
        <v/>
      </c>
      <c r="H107" s="667">
        <f>SUM(H7:H105)</f>
        <v/>
      </c>
      <c r="I107" s="594" t="n">
        <v>30</v>
      </c>
      <c r="J107" s="298" t="n">
        <v>30</v>
      </c>
      <c r="K107" s="637" t="n">
        <v>28</v>
      </c>
      <c r="L107" s="298" t="n">
        <v>26</v>
      </c>
      <c r="M107" s="668" t="n"/>
      <c r="N107" s="668" t="n"/>
      <c r="O107" s="669">
        <f>SUM(G107:L107)</f>
        <v/>
      </c>
      <c r="P107" s="670">
        <f>SUM(P7:P106)</f>
        <v/>
      </c>
      <c r="Q107" s="2" t="n"/>
    </row>
    <row r="108" ht="31.2" customHeight="1">
      <c r="A108" s="641" t="inlineStr">
        <is>
          <t>창의적 체험활동</t>
        </is>
      </c>
      <c r="B108" s="642" t="n"/>
      <c r="C108" s="642" t="n"/>
      <c r="D108" s="642" t="n"/>
      <c r="E108" s="651" t="n"/>
      <c r="F108" s="644" t="n">
        <v>18</v>
      </c>
      <c r="G108" s="645" t="n">
        <v>3</v>
      </c>
      <c r="H108" s="297" t="n">
        <v>3</v>
      </c>
      <c r="I108" s="589" t="n">
        <v>3</v>
      </c>
      <c r="J108" s="297" t="n">
        <v>3</v>
      </c>
      <c r="K108" s="589" t="n">
        <v>3</v>
      </c>
      <c r="L108" s="646" t="n">
        <v>3</v>
      </c>
      <c r="M108" s="210" t="n"/>
      <c r="N108" s="645" t="n"/>
      <c r="O108" s="645">
        <f>SUM(G108:L108)</f>
        <v/>
      </c>
      <c r="P108" s="647" t="n">
        <v>18</v>
      </c>
    </row>
    <row r="109" ht="31.2" customHeight="1">
      <c r="A109" s="641" t="inlineStr">
        <is>
          <t>학기별 총 이수 학점</t>
        </is>
      </c>
      <c r="B109" s="642" t="n"/>
      <c r="C109" s="642" t="n"/>
      <c r="D109" s="642" t="n"/>
      <c r="E109" s="642" t="n"/>
      <c r="F109" s="651" t="n"/>
      <c r="G109" s="501">
        <f>SUM(G107:G108)</f>
        <v/>
      </c>
      <c r="H109" s="502">
        <f>SUM(H107:H108)</f>
        <v/>
      </c>
      <c r="I109" s="501">
        <f>SUM(I107:I108)</f>
        <v/>
      </c>
      <c r="J109" s="502">
        <f>SUM(J107:J108)</f>
        <v/>
      </c>
      <c r="K109" s="501">
        <f>SUM(K107:K108)</f>
        <v/>
      </c>
      <c r="L109" s="502">
        <f>SUM(L107:L108)</f>
        <v/>
      </c>
      <c r="M109" s="644" t="n"/>
      <c r="N109" s="649" t="n"/>
      <c r="O109" s="649">
        <f>SUM(G109:M109)</f>
        <v/>
      </c>
      <c r="P109" s="650" t="n"/>
    </row>
    <row r="110" ht="31.2" customHeight="1">
      <c r="A110" s="641" t="inlineStr">
        <is>
          <t>학기당 이수 과목 수</t>
        </is>
      </c>
      <c r="B110" s="642" t="n"/>
      <c r="C110" s="642" t="n"/>
      <c r="D110" s="642" t="n"/>
      <c r="E110" s="642" t="n"/>
      <c r="F110" s="651" t="n"/>
      <c r="G110" s="649" t="n">
        <v>10</v>
      </c>
      <c r="H110" s="502" t="n">
        <v>10</v>
      </c>
      <c r="I110" s="501" t="n">
        <v>10</v>
      </c>
      <c r="J110" s="502" t="n">
        <v>10</v>
      </c>
      <c r="K110" s="501" t="n">
        <v>9</v>
      </c>
      <c r="L110" s="651" t="n">
        <v>9</v>
      </c>
      <c r="M110" s="644" t="n"/>
      <c r="N110" s="649" t="n"/>
      <c r="O110" s="652" t="n"/>
      <c r="P110" s="653" t="n"/>
    </row>
    <row r="111" ht="16.2" customHeight="1" thickBot="1">
      <c r="A111" s="654" t="inlineStr">
        <is>
          <t>학년별 총 이수 학점</t>
        </is>
      </c>
      <c r="B111" s="655" t="n"/>
      <c r="C111" s="655" t="n"/>
      <c r="D111" s="655" t="n"/>
      <c r="E111" s="655" t="n"/>
      <c r="F111" s="656" t="n"/>
      <c r="G111" s="657">
        <f>SUM(G109:H109)</f>
        <v/>
      </c>
      <c r="H111" s="656" t="n"/>
      <c r="I111" s="657">
        <f>SUM(I109:J109)</f>
        <v/>
      </c>
      <c r="J111" s="656" t="n"/>
      <c r="K111" s="657">
        <f>SUM(K109:L109)</f>
        <v/>
      </c>
      <c r="L111" s="656" t="n"/>
      <c r="M111" s="658" t="n"/>
      <c r="N111" s="659" t="n"/>
      <c r="O111" s="657">
        <f>SUM(G111:M111)</f>
        <v/>
      </c>
      <c r="P111" s="660" t="n"/>
    </row>
    <row r="112" ht="14.4" customHeight="1">
      <c r="A112" s="686" t="inlineStr">
        <is>
          <t>※ 유의사항
- 국어,수학,영어 교과 선택과목에서 7과목(21학점) 이내로 선택(국어, 수학, 영어 교과의 이수 학점 총합은 81학점을 초과 불가)
- 2, 3학년 기술∙가정/정보, 제2외국어/한문∙교양 교과에서 4과목(12학점) 이상 선택
- 2, 3학년 동안 사회교과 1과목, 과학 교과 1과목 이상 선택(사회, 과학 교과 영역의 필수 이수 학점 충족 필요)</t>
        </is>
      </c>
      <c r="B112" s="687" t="n"/>
      <c r="C112" s="687" t="n"/>
      <c r="D112" s="687" t="n"/>
      <c r="E112" s="687" t="n"/>
      <c r="F112" s="687" t="n"/>
      <c r="G112" s="687" t="n"/>
      <c r="H112" s="687" t="n"/>
      <c r="I112" s="687" t="n"/>
      <c r="J112" s="687" t="n"/>
      <c r="K112" s="687" t="n"/>
      <c r="L112" s="687" t="n"/>
      <c r="M112" s="687" t="n"/>
      <c r="N112" s="687" t="n"/>
      <c r="O112" s="687" t="n"/>
      <c r="P112" s="688" t="n"/>
    </row>
    <row r="113" ht="14.4" customHeight="1">
      <c r="A113" s="2" t="n"/>
      <c r="P113" s="689" t="n"/>
    </row>
    <row r="114" ht="14.4" customHeight="1">
      <c r="A114" s="2" t="n"/>
      <c r="P114" s="689" t="n"/>
    </row>
    <row r="115" ht="14.4" customHeight="1">
      <c r="A115" s="2" t="n"/>
      <c r="P115" s="689" t="n"/>
    </row>
    <row r="116" ht="15" customHeight="1" thickBot="1">
      <c r="A116" s="690" t="n"/>
      <c r="B116" s="676" t="n"/>
      <c r="C116" s="676" t="n"/>
      <c r="D116" s="676" t="n"/>
      <c r="E116" s="676" t="n"/>
      <c r="F116" s="676" t="n"/>
      <c r="G116" s="676" t="n"/>
      <c r="H116" s="676" t="n"/>
      <c r="I116" s="676" t="n"/>
      <c r="J116" s="676" t="n"/>
      <c r="K116" s="676" t="n"/>
      <c r="L116" s="676" t="n"/>
      <c r="M116" s="676" t="n"/>
      <c r="N116" s="676" t="n"/>
      <c r="O116" s="676" t="n"/>
      <c r="P116" s="691" t="n"/>
    </row>
    <row r="117" ht="14.4" customHeight="1"/>
  </sheetData>
  <mergeCells count="3">
    <mergeCell ref="A112:P116"/>
    <mergeCell ref="A2:G2"/>
    <mergeCell ref="A1:G1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2024-04-19T11:26:34Z</dcterms:created>
  <dcterms:modified xmlns:dcterms="http://purl.org/dc/terms/" xmlns:xsi="http://www.w3.org/2001/XMLSchema-instance" xsi:type="dcterms:W3CDTF">2026-08-12T15:49:43Z</dcterms:modified>
  <cp:lastModifiedBy>user</cp:lastModifiedBy>
  <cp:lastPrinted>2024-04-22T10:23:38Z</cp:lastPrinted>
</cp:coreProperties>
</file>