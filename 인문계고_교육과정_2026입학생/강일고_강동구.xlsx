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정보공시_서울전체\"/>
    </mc:Choice>
  </mc:AlternateContent>
  <xr:revisionPtr revIDLastSave="0" documentId="13_ncr:1_{8F348282-D948-4790-BC75-5B907BC9363D}" xr6:coauthVersionLast="47" xr6:coauthVersionMax="47" xr10:uidLastSave="{00000000-0000-0000-0000-000000000000}"/>
  <bookViews>
    <workbookView xWindow="30612" yWindow="-108" windowWidth="23256" windowHeight="12456" tabRatio="681" xr2:uid="{00000000-000D-0000-FFFF-FFFF00000000}"/>
  </bookViews>
  <sheets>
    <sheet name="2026입학생" sheetId="1" r:id="rId1"/>
    <sheet name="2026입학생 (2)" sheetId="2" state="hidden" r:id="rId2"/>
    <sheet name="데이터베이스" sheetId="4" state="hidden" r:id="rId3"/>
  </sheets>
  <definedNames>
    <definedName name="_xlnm.Print_Area" localSheetId="0">'2026입학생'!$A$1:$P$119</definedName>
    <definedName name="_xlnm.Print_Area" localSheetId="1">'2026입학생 (2)'!$A$1:$P$115</definedName>
    <definedName name="_xlnm.Print_Titles" localSheetId="0">'2026입학생'!$3:$5</definedName>
    <definedName name="_xlnm.Print_Titles" localSheetId="1">'2026입학생 (2)'!$3:$5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6" i="2" l="1"/>
  <c r="L104" i="2"/>
  <c r="K104" i="2"/>
  <c r="J104" i="2"/>
  <c r="I104" i="2"/>
  <c r="I106" i="2" s="1"/>
  <c r="O103" i="2"/>
  <c r="P102" i="2"/>
  <c r="H102" i="2"/>
  <c r="H104" i="2" s="1"/>
  <c r="G102" i="2"/>
  <c r="G104" i="2" s="1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O41" i="2"/>
  <c r="E41" i="2"/>
  <c r="E40" i="2"/>
  <c r="E39" i="2"/>
  <c r="E38" i="2"/>
  <c r="E37" i="2"/>
  <c r="E36" i="2"/>
  <c r="O35" i="2"/>
  <c r="E35" i="2"/>
  <c r="E34" i="2"/>
  <c r="E33" i="2"/>
  <c r="E32" i="2"/>
  <c r="E31" i="2"/>
  <c r="E30" i="2"/>
  <c r="O29" i="2"/>
  <c r="E29" i="2"/>
  <c r="E28" i="2"/>
  <c r="E27" i="2"/>
  <c r="E26" i="2"/>
  <c r="O25" i="2"/>
  <c r="E25" i="2"/>
  <c r="E24" i="2"/>
  <c r="O23" i="2"/>
  <c r="E23" i="2"/>
  <c r="E22" i="2"/>
  <c r="O21" i="2"/>
  <c r="E21" i="2"/>
  <c r="E20" i="2"/>
  <c r="E19" i="2"/>
  <c r="E18" i="2"/>
  <c r="O17" i="2"/>
  <c r="E17" i="2"/>
  <c r="E16" i="2"/>
  <c r="E15" i="2"/>
  <c r="E14" i="2"/>
  <c r="E13" i="2"/>
  <c r="O12" i="2"/>
  <c r="E12" i="2"/>
  <c r="E11" i="2"/>
  <c r="E10" i="2"/>
  <c r="E9" i="2"/>
  <c r="E8" i="2"/>
  <c r="O7" i="2"/>
  <c r="E7" i="2"/>
  <c r="I110" i="1"/>
  <c r="L108" i="1"/>
  <c r="K110" i="1" s="1"/>
  <c r="K108" i="1"/>
  <c r="J108" i="1"/>
  <c r="I108" i="1"/>
  <c r="H108" i="1"/>
  <c r="G108" i="1"/>
  <c r="G110" i="1" s="1"/>
  <c r="O110" i="1" s="1"/>
  <c r="O107" i="1"/>
  <c r="P106" i="1"/>
  <c r="O106" i="1"/>
  <c r="H106" i="1"/>
  <c r="G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O39" i="1"/>
  <c r="E39" i="1"/>
  <c r="E38" i="1"/>
  <c r="E37" i="1"/>
  <c r="E36" i="1"/>
  <c r="O35" i="1"/>
  <c r="E35" i="1"/>
  <c r="E34" i="1"/>
  <c r="E33" i="1"/>
  <c r="E32" i="1"/>
  <c r="E31" i="1"/>
  <c r="E30" i="1"/>
  <c r="O29" i="1"/>
  <c r="E29" i="1"/>
  <c r="E28" i="1"/>
  <c r="E27" i="1"/>
  <c r="E26" i="1"/>
  <c r="O25" i="1"/>
  <c r="E25" i="1"/>
  <c r="E24" i="1"/>
  <c r="O23" i="1"/>
  <c r="E23" i="1"/>
  <c r="E22" i="1"/>
  <c r="O21" i="1"/>
  <c r="E21" i="1"/>
  <c r="E20" i="1"/>
  <c r="E19" i="1"/>
  <c r="E18" i="1"/>
  <c r="O17" i="1"/>
  <c r="E17" i="1"/>
  <c r="E16" i="1"/>
  <c r="E15" i="1"/>
  <c r="E14" i="1"/>
  <c r="E13" i="1"/>
  <c r="O12" i="1"/>
  <c r="E12" i="1"/>
  <c r="E11" i="1"/>
  <c r="E10" i="1"/>
  <c r="E9" i="1"/>
  <c r="E8" i="1"/>
  <c r="O7" i="1"/>
  <c r="E7" i="1"/>
  <c r="G106" i="2" l="1"/>
  <c r="O106" i="2" s="1"/>
  <c r="O104" i="2"/>
  <c r="O102" i="2"/>
  <c r="O1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sz val="11"/>
            <rFont val="돋움"/>
            <family val="3"/>
            <charset val="129"/>
          </rPr>
          <t xml:space="preserve">Administrator:
수식이 입력되어 있음. 지워진 경우 아래 수식을 활용
=IFERROR(VLOOKUP(D7, 기본학점, 2, FALSE), "")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100-000001000000}">
      <text>
        <r>
          <rPr>
            <sz val="11"/>
            <rFont val="돋움"/>
            <family val="3"/>
            <charset val="129"/>
          </rPr>
          <t xml:space="preserve">Administrator:
수식이 입력되어 있음. 지워진 경우 아래 수식을 활용
=IFERROR(VLOOKUP(D7, 기본학점, 2, FALSE), "")
</t>
        </r>
      </text>
    </comment>
  </commentList>
</comments>
</file>

<file path=xl/sharedStrings.xml><?xml version="1.0" encoding="utf-8"?>
<sst xmlns="http://schemas.openxmlformats.org/spreadsheetml/2006/main" count="932" uniqueCount="271">
  <si>
    <t>강일고등학교 교육과정 학점 배당표</t>
  </si>
  <si>
    <t>구분</t>
  </si>
  <si>
    <t>교과(군)</t>
  </si>
  <si>
    <t>과목 
유형</t>
  </si>
  <si>
    <t>과목</t>
  </si>
  <si>
    <t>기본
학점</t>
  </si>
  <si>
    <t>운영
학점</t>
  </si>
  <si>
    <t>1학년</t>
  </si>
  <si>
    <t>2학년</t>
  </si>
  <si>
    <t>3학년</t>
  </si>
  <si>
    <t>비고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</si>
  <si>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</si>
  <si>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</si>
  <si>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</si>
  <si>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</si>
  <si>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</si>
  <si>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</si>
  <si>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</si>
  <si>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</si>
  <si>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</si>
  <si>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</si>
  <si>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</si>
  <si>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>문학</t>
  </si>
  <si>
    <t xml:space="preserve">화법과 언어 </t>
  </si>
  <si>
    <t xml:space="preserve">독서와 작문 </t>
  </si>
  <si>
    <t>수 학</t>
  </si>
  <si>
    <t>공통수학1</t>
  </si>
  <si>
    <t>공통수학2</t>
  </si>
  <si>
    <t>대수</t>
  </si>
  <si>
    <t>미적분Ⅰ</t>
  </si>
  <si>
    <t>확률과 통계</t>
  </si>
  <si>
    <t>영 어</t>
  </si>
  <si>
    <t>공통영어1</t>
  </si>
  <si>
    <t>공통영어2</t>
  </si>
  <si>
    <t>영어Ⅰ</t>
  </si>
  <si>
    <t>영어Ⅱ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</si>
  <si>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</si>
  <si>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</si>
  <si>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</si>
  <si>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</si>
  <si>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</si>
  <si>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</si>
  <si>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</si>
  <si>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</si>
  <si>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</si>
  <si>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</si>
  <si>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물리학</t>
  </si>
  <si>
    <t>화학</t>
  </si>
  <si>
    <t xml:space="preserve">생명과학 </t>
  </si>
  <si>
    <t>지구과학</t>
  </si>
  <si>
    <t>체 육</t>
  </si>
  <si>
    <t>체육1</t>
  </si>
  <si>
    <t>체육2</t>
  </si>
  <si>
    <t>융합</t>
  </si>
  <si>
    <t xml:space="preserve">스포츠 생활1 </t>
  </si>
  <si>
    <t xml:space="preserve">스포츠 생활2 </t>
  </si>
  <si>
    <t>진로</t>
  </si>
  <si>
    <t>스포츠 문화</t>
  </si>
  <si>
    <t>스포츠 과학</t>
  </si>
  <si>
    <t>예 술</t>
  </si>
  <si>
    <t>미술</t>
  </si>
  <si>
    <t>[3]</t>
  </si>
  <si>
    <t>음악</t>
  </si>
  <si>
    <t>기술∙가정/정보</t>
  </si>
  <si>
    <t>정보</t>
  </si>
  <si>
    <t>교 양</t>
  </si>
  <si>
    <t xml:space="preserve">진로와 직업 </t>
  </si>
  <si>
    <t>논술</t>
  </si>
  <si>
    <t>제2외국어/한문</t>
  </si>
  <si>
    <t xml:space="preserve">일본어 </t>
  </si>
  <si>
    <t>3(택1)</t>
  </si>
  <si>
    <t>중국어</t>
  </si>
  <si>
    <t>기하</t>
  </si>
  <si>
    <t>15
(택5)</t>
  </si>
  <si>
    <t>세계 문화와 영어</t>
  </si>
  <si>
    <t>사회와 문화</t>
  </si>
  <si>
    <t>현대사회와 윤리</t>
  </si>
  <si>
    <t>한국지리 탐구</t>
  </si>
  <si>
    <t xml:space="preserve">도시의 미래 탐구 </t>
  </si>
  <si>
    <t>역사로 탐구하는 현대 세계</t>
  </si>
  <si>
    <t>생물의 유전</t>
  </si>
  <si>
    <t xml:space="preserve">지구시스템과학 </t>
  </si>
  <si>
    <t xml:space="preserve">역학과 에너지 </t>
  </si>
  <si>
    <t>화학 반응의 세계</t>
  </si>
  <si>
    <t>일본어 회화</t>
  </si>
  <si>
    <t xml:space="preserve">중국어 회화 </t>
  </si>
  <si>
    <t>3학년 선택</t>
  </si>
  <si>
    <t xml:space="preserve">주제 탐구 독서 </t>
  </si>
  <si>
    <t>미적분Ⅱ</t>
  </si>
  <si>
    <t>영어 독해와 작문</t>
  </si>
  <si>
    <t xml:space="preserve">심화 영어 </t>
  </si>
  <si>
    <t>경제</t>
  </si>
  <si>
    <t>동아시아 역사 기행</t>
  </si>
  <si>
    <t>윤리문제 탐구</t>
  </si>
  <si>
    <t>기후변화와 지속가능한 세계</t>
  </si>
  <si>
    <t>전자기와 양자</t>
  </si>
  <si>
    <t xml:space="preserve">물질과 에너지 </t>
  </si>
  <si>
    <t xml:space="preserve">세포와 물질대사 </t>
  </si>
  <si>
    <t>행성우주과학</t>
  </si>
  <si>
    <t>특목고 선택 과목</t>
  </si>
  <si>
    <t>심화 일본어</t>
  </si>
  <si>
    <t xml:space="preserve">심화 중국어 </t>
  </si>
  <si>
    <t xml:space="preserve">미술 창작 </t>
  </si>
  <si>
    <t>2
(택1)</t>
  </si>
  <si>
    <t>음악 연주와 창작</t>
  </si>
  <si>
    <t>생태와 환경</t>
  </si>
  <si>
    <t>인간과 철학</t>
  </si>
  <si>
    <t>문학과 영상</t>
  </si>
  <si>
    <t>21
(택7)</t>
  </si>
  <si>
    <t>언어생활 탐구</t>
  </si>
  <si>
    <t>경제 수학</t>
  </si>
  <si>
    <t>실용 통계</t>
  </si>
  <si>
    <t>영미 문학 읽기</t>
  </si>
  <si>
    <t xml:space="preserve">심화 영어 독해와 작문 </t>
  </si>
  <si>
    <t>사회문제 탐구</t>
  </si>
  <si>
    <t>인문학과 윤리</t>
  </si>
  <si>
    <t>여행지리</t>
  </si>
  <si>
    <t>국제 관계의 이해</t>
  </si>
  <si>
    <t>과학의 역사와 문화</t>
  </si>
  <si>
    <t>기후변화와 환경생태</t>
  </si>
  <si>
    <t>융합과학 탐구</t>
  </si>
  <si>
    <t>일본 문화</t>
  </si>
  <si>
    <t xml:space="preserve">중국 문화 </t>
  </si>
  <si>
    <t>미술 감상과 비평</t>
  </si>
  <si>
    <t>음악 감상과 비평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</si>
  <si>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</si>
  <si>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</si>
  <si>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</si>
  <si>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</si>
  <si>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</si>
  <si>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t>2026학년도 입학(2022 개정 교육과정 적용)</t>
  </si>
  <si>
    <t xml:space="preserve">인공지능 기초 </t>
  </si>
  <si>
    <t xml:space="preserve">2
학년선택 </t>
  </si>
  <si>
    <t>독서 토론과 글쓰기</t>
  </si>
  <si>
    <t>정치</t>
  </si>
  <si>
    <t>세계사</t>
  </si>
  <si>
    <t>세계시민과 지리</t>
  </si>
  <si>
    <t xml:space="preserve">법과 사회 </t>
  </si>
  <si>
    <t xml:space="preserve">윤리와 사상 </t>
  </si>
  <si>
    <t>미술과 매체</t>
  </si>
  <si>
    <t>음악과 미디어</t>
  </si>
  <si>
    <t>조형탐구</t>
  </si>
  <si>
    <t>특목고 선택과목</t>
  </si>
  <si>
    <t>음악 공연 실습</t>
  </si>
  <si>
    <t>※ 유의사항
- 국어, 수학 영어 교과의 이수학점 총합은 81학점 초과 불가</t>
  </si>
  <si>
    <t>[2]</t>
  </si>
  <si>
    <t>12
(택4)</t>
  </si>
  <si>
    <t xml:space="preserve">3
학년선택 </t>
  </si>
  <si>
    <t xml:space="preserve">※ 유의사항
- </t>
  </si>
  <si>
    <t>입력용 
교과(군)</t>
  </si>
  <si>
    <t>목록이름</t>
  </si>
  <si>
    <t>과목유형</t>
  </si>
  <si>
    <t>국어공통</t>
  </si>
  <si>
    <t>국어일반</t>
  </si>
  <si>
    <t>국어진로</t>
  </si>
  <si>
    <t>국어융합</t>
  </si>
  <si>
    <t>수학공통</t>
  </si>
  <si>
    <t>수학일반</t>
  </si>
  <si>
    <t>수학진로</t>
  </si>
  <si>
    <t>수학융합</t>
  </si>
  <si>
    <t>영어공통</t>
  </si>
  <si>
    <t>영어일반</t>
  </si>
  <si>
    <t>영어진로</t>
  </si>
  <si>
    <t>영어융합</t>
  </si>
  <si>
    <t>사회공통</t>
  </si>
  <si>
    <t>사회일반</t>
  </si>
  <si>
    <t>사회진로</t>
  </si>
  <si>
    <t>사회융합</t>
  </si>
  <si>
    <t>과학공통</t>
  </si>
  <si>
    <t>과학일반</t>
  </si>
  <si>
    <t>과학진로</t>
  </si>
  <si>
    <t>과학융합</t>
  </si>
  <si>
    <t>체육일반</t>
  </si>
  <si>
    <t>체육진로</t>
  </si>
  <si>
    <t>체육융합</t>
  </si>
  <si>
    <t>예술일반</t>
  </si>
  <si>
    <t>예술진로</t>
  </si>
  <si>
    <t>예술융합</t>
  </si>
  <si>
    <t>기가정일반</t>
  </si>
  <si>
    <t>기가정진로</t>
  </si>
  <si>
    <t>기가정융합</t>
  </si>
  <si>
    <t>외한일반</t>
  </si>
  <si>
    <t>외한진로</t>
  </si>
  <si>
    <t>외한융합</t>
  </si>
  <si>
    <t>교양일반</t>
  </si>
  <si>
    <t>교양진로</t>
  </si>
  <si>
    <t>교양융합</t>
  </si>
  <si>
    <t>국어</t>
  </si>
  <si>
    <t xml:space="preserve">수학과 문화 </t>
  </si>
  <si>
    <t xml:space="preserve">실생활 영어 회화 </t>
  </si>
  <si>
    <t xml:space="preserve">운동과 건강 </t>
  </si>
  <si>
    <t>기술∙가정</t>
  </si>
  <si>
    <t>로봇과 공학세계</t>
  </si>
  <si>
    <t>창의 공학 설계</t>
  </si>
  <si>
    <t xml:space="preserve">독일어 </t>
  </si>
  <si>
    <t>독일어 회화</t>
  </si>
  <si>
    <t>독일어권 문화</t>
  </si>
  <si>
    <t xml:space="preserve">인간과 경제활동 </t>
  </si>
  <si>
    <t>수학</t>
  </si>
  <si>
    <t xml:space="preserve">매체 의사소통 </t>
  </si>
  <si>
    <t>영어 발표와 토론</t>
  </si>
  <si>
    <t xml:space="preserve">미디어 영어 </t>
  </si>
  <si>
    <t>생활과학 탐구</t>
  </si>
  <si>
    <t>지식 재산 일반</t>
  </si>
  <si>
    <t>프랑스어</t>
  </si>
  <si>
    <t xml:space="preserve">프랑스어 회화 </t>
  </si>
  <si>
    <t>프랑스어권 문화</t>
  </si>
  <si>
    <t xml:space="preserve">논리와 사고 </t>
  </si>
  <si>
    <t>영어</t>
  </si>
  <si>
    <t>직무 의사소통</t>
  </si>
  <si>
    <t>기본수학1</t>
  </si>
  <si>
    <t>수학과제 탐구</t>
  </si>
  <si>
    <t>기본영어1</t>
  </si>
  <si>
    <t>연극</t>
  </si>
  <si>
    <t xml:space="preserve">생애 설계와 자립 </t>
  </si>
  <si>
    <t>스페인어</t>
  </si>
  <si>
    <t>스페인어 회화</t>
  </si>
  <si>
    <t>스페인어권 문화</t>
  </si>
  <si>
    <t>인간과 심리</t>
  </si>
  <si>
    <t>사회</t>
  </si>
  <si>
    <t>기본수학2</t>
  </si>
  <si>
    <t>인공지능 수학</t>
  </si>
  <si>
    <t>기본영어2</t>
  </si>
  <si>
    <t>금융과 경제생활</t>
  </si>
  <si>
    <t>데이터 과학</t>
  </si>
  <si>
    <t>아동발달과 부모</t>
  </si>
  <si>
    <t xml:space="preserve">교육의 이해 </t>
  </si>
  <si>
    <t>과학</t>
  </si>
  <si>
    <t>직무 수학</t>
  </si>
  <si>
    <t>직무 영어</t>
  </si>
  <si>
    <t>소프트웨어와 생활</t>
  </si>
  <si>
    <t>삶과 종교</t>
  </si>
  <si>
    <t>체육</t>
  </si>
  <si>
    <t>과목유형2</t>
  </si>
  <si>
    <t>러시아어</t>
  </si>
  <si>
    <t xml:space="preserve">러시아어 회화 </t>
  </si>
  <si>
    <t xml:space="preserve">러시아 문화 </t>
  </si>
  <si>
    <t>보건</t>
  </si>
  <si>
    <t>예술</t>
  </si>
  <si>
    <t>아랍어</t>
  </si>
  <si>
    <t>아랍어 회화</t>
  </si>
  <si>
    <t>아랍 문화</t>
  </si>
  <si>
    <t>기가정</t>
  </si>
  <si>
    <t>베트남어</t>
  </si>
  <si>
    <t>베트남어 회화</t>
  </si>
  <si>
    <t>베트남 문화</t>
  </si>
  <si>
    <t>외한</t>
  </si>
  <si>
    <t>한문</t>
  </si>
  <si>
    <t>심화 독일어</t>
  </si>
  <si>
    <t>언어생활과 한자</t>
  </si>
  <si>
    <t>교양</t>
  </si>
  <si>
    <t xml:space="preserve">심화 프랑스어 </t>
  </si>
  <si>
    <t>심화 스페인어</t>
  </si>
  <si>
    <t>과목명</t>
  </si>
  <si>
    <t>기본학점</t>
  </si>
  <si>
    <t>허용하한</t>
  </si>
  <si>
    <t>허용상한</t>
  </si>
  <si>
    <t>공유캠퍼스</t>
  </si>
  <si>
    <t>전문 교과</t>
  </si>
  <si>
    <t>온라인학교</t>
  </si>
  <si>
    <t xml:space="preserve">심화 러시아어 </t>
  </si>
  <si>
    <t>교육감 승인 과목</t>
  </si>
  <si>
    <t>학교 밖 교육</t>
  </si>
  <si>
    <t>심화 아랍어</t>
  </si>
  <si>
    <t>교육감 승인 과목(특목고)</t>
  </si>
  <si>
    <t>심화 베트남어</t>
  </si>
  <si>
    <t>교육감 승인 과목(전문)</t>
  </si>
  <si>
    <t>한문 고전 읽기</t>
  </si>
  <si>
    <t>타 시·도 교육감 승인 과목</t>
  </si>
  <si>
    <t>타 시·도 교육감 승인 과목(특목고)</t>
  </si>
  <si>
    <t>타 시·도 교육감 승인 과목(전문)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</si>
</sst>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1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31">
    <xf numFmtId="0" fontId="0" fillId="0" borderId="0" xfId="0"/>
    <xf numFmtId="0" fontId="0" fillId="0" borderId="71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1" fillId="0" borderId="31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49" fontId="11" fillId="0" borderId="17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49" fontId="11" fillId="0" borderId="21" xfId="0" applyNumberFormat="1" applyFont="1" applyBorder="1" applyAlignment="1">
      <alignment horizontal="center" vertical="center" wrapText="1"/>
    </xf>
    <xf numFmtId="49" fontId="11" fillId="0" borderId="19" xfId="0" applyNumberFormat="1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43" xfId="0" quotePrefix="1" applyFont="1" applyBorder="1" applyAlignment="1">
      <alignment horizontal="center" vertical="center" wrapText="1"/>
    </xf>
    <xf numFmtId="0" fontId="11" fillId="0" borderId="27" xfId="0" quotePrefix="1" applyFont="1" applyBorder="1" applyAlignment="1">
      <alignment horizontal="center" vertical="center" wrapText="1"/>
    </xf>
    <xf numFmtId="0" fontId="11" fillId="0" borderId="39" xfId="0" quotePrefix="1" applyFont="1" applyBorder="1" applyAlignment="1">
      <alignment horizontal="center" vertical="center" wrapText="1"/>
    </xf>
    <xf numFmtId="0" fontId="11" fillId="0" borderId="28" xfId="0" quotePrefix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42" xfId="0" quotePrefix="1" applyFont="1" applyBorder="1" applyAlignment="1">
      <alignment horizontal="center" vertical="center" wrapText="1"/>
    </xf>
    <xf numFmtId="0" fontId="11" fillId="2" borderId="96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0" borderId="38" xfId="0" quotePrefix="1" applyFont="1" applyBorder="1" applyAlignment="1">
      <alignment horizontal="center" vertical="center" wrapText="1"/>
    </xf>
    <xf numFmtId="0" fontId="11" fillId="2" borderId="66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0" fillId="2" borderId="67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1" fillId="0" borderId="96" xfId="0" applyFont="1" applyBorder="1" applyAlignment="1">
      <alignment horizontal="center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 wrapText="1"/>
    </xf>
    <xf numFmtId="0" fontId="11" fillId="0" borderId="94" xfId="0" applyFont="1" applyBorder="1" applyAlignment="1">
      <alignment horizontal="center" vertical="center" wrapText="1"/>
    </xf>
    <xf numFmtId="0" fontId="11" fillId="2" borderId="91" xfId="0" applyFont="1" applyFill="1" applyBorder="1" applyAlignment="1">
      <alignment horizontal="center" vertical="center" wrapText="1"/>
    </xf>
    <xf numFmtId="0" fontId="11" fillId="0" borderId="95" xfId="0" applyFont="1" applyBorder="1" applyAlignment="1">
      <alignment horizontal="center" vertical="center" wrapText="1"/>
    </xf>
    <xf numFmtId="0" fontId="11" fillId="0" borderId="88" xfId="0" applyFont="1" applyBorder="1" applyAlignment="1">
      <alignment horizontal="center" vertical="center" wrapText="1"/>
    </xf>
    <xf numFmtId="0" fontId="11" fillId="0" borderId="89" xfId="0" applyFont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3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5" fillId="0" borderId="39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shrinkToFit="1"/>
    </xf>
    <xf numFmtId="0" fontId="12" fillId="8" borderId="2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49" fontId="13" fillId="8" borderId="2" xfId="0" applyNumberFormat="1" applyFont="1" applyFill="1" applyBorder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0" fontId="12" fillId="0" borderId="0" xfId="0" applyFont="1" applyAlignment="1">
      <alignment shrinkToFit="1"/>
    </xf>
    <xf numFmtId="49" fontId="13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3" fillId="9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0" fontId="12" fillId="9" borderId="2" xfId="0" applyFont="1" applyFill="1" applyBorder="1" applyAlignment="1">
      <alignment horizontal="center" vertical="center" shrinkToFit="1"/>
    </xf>
    <xf numFmtId="0" fontId="15" fillId="9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wrapText="1" shrinkToFit="1"/>
    </xf>
    <xf numFmtId="49" fontId="5" fillId="0" borderId="19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43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11" fillId="2" borderId="18" xfId="0" quotePrefix="1" applyFont="1" applyFill="1" applyBorder="1" applyAlignment="1">
      <alignment horizontal="center" vertical="center" wrapText="1"/>
    </xf>
    <xf numFmtId="0" fontId="11" fillId="2" borderId="20" xfId="0" quotePrefix="1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57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2" borderId="42" xfId="0" quotePrefix="1" applyFont="1" applyFill="1" applyBorder="1" applyAlignment="1">
      <alignment horizontal="center" vertical="center" wrapText="1"/>
    </xf>
    <xf numFmtId="0" fontId="11" fillId="2" borderId="38" xfId="0" quotePrefix="1" applyFont="1" applyFill="1" applyBorder="1" applyAlignment="1">
      <alignment horizontal="center" vertical="center" wrapText="1"/>
    </xf>
    <xf numFmtId="0" fontId="11" fillId="2" borderId="40" xfId="0" quotePrefix="1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9" fillId="3" borderId="101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91" xfId="0" applyFont="1" applyFill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1" fillId="0" borderId="106" xfId="0" applyFont="1" applyBorder="1" applyAlignment="1">
      <alignment horizontal="center" vertical="center" wrapText="1"/>
    </xf>
    <xf numFmtId="0" fontId="11" fillId="0" borderId="105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shrinkToFit="1"/>
    </xf>
    <xf numFmtId="0" fontId="12" fillId="10" borderId="6" xfId="0" applyFont="1" applyFill="1" applyBorder="1" applyAlignment="1">
      <alignment horizontal="center" vertical="center" shrinkToFit="1"/>
    </xf>
    <xf numFmtId="0" fontId="9" fillId="3" borderId="14" xfId="0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49" fontId="5" fillId="0" borderId="17" xfId="0" applyNumberFormat="1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49" fontId="5" fillId="0" borderId="21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49" fontId="5" fillId="0" borderId="23" xfId="0" applyNumberFormat="1" applyFont="1" applyBorder="1" applyAlignment="1">
      <alignment horizontal="center" vertical="center" shrinkToFit="1"/>
    </xf>
    <xf numFmtId="49" fontId="11" fillId="0" borderId="17" xfId="0" applyNumberFormat="1" applyFont="1" applyBorder="1" applyAlignment="1">
      <alignment horizontal="center" vertical="center" shrinkToFit="1"/>
    </xf>
    <xf numFmtId="49" fontId="11" fillId="0" borderId="21" xfId="0" applyNumberFormat="1" applyFont="1" applyBorder="1" applyAlignment="1">
      <alignment horizontal="center" vertical="center" shrinkToFit="1"/>
    </xf>
    <xf numFmtId="49" fontId="11" fillId="0" borderId="15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11" fillId="2" borderId="48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11" fillId="0" borderId="109" xfId="0" quotePrefix="1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5" xfId="0" applyFont="1" applyFill="1" applyBorder="1" applyAlignment="1">
      <alignment horizontal="center" vertical="center" wrapText="1"/>
    </xf>
    <xf numFmtId="0" fontId="11" fillId="0" borderId="1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03" xfId="0" applyFont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1" fillId="2" borderId="111" xfId="0" applyFont="1" applyFill="1" applyBorder="1" applyAlignment="1">
      <alignment horizontal="center" vertical="center" wrapText="1"/>
    </xf>
    <xf numFmtId="0" fontId="11" fillId="0" borderId="112" xfId="0" applyFont="1" applyBorder="1" applyAlignment="1">
      <alignment horizontal="center" vertical="center" wrapText="1"/>
    </xf>
    <xf numFmtId="0" fontId="11" fillId="2" borderId="106" xfId="0" applyFont="1" applyFill="1" applyBorder="1" applyAlignment="1">
      <alignment horizontal="center" vertical="center" wrapText="1"/>
    </xf>
    <xf numFmtId="0" fontId="11" fillId="2" borderId="109" xfId="0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111" xfId="0" applyFont="1" applyBorder="1" applyAlignment="1">
      <alignment horizontal="center" vertical="center" wrapText="1"/>
    </xf>
    <xf numFmtId="0" fontId="11" fillId="0" borderId="106" xfId="0" quotePrefix="1" applyFont="1" applyBorder="1" applyAlignment="1">
      <alignment horizontal="center" vertical="center" wrapText="1"/>
    </xf>
    <xf numFmtId="0" fontId="11" fillId="0" borderId="71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14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shrinkToFit="1"/>
    </xf>
    <xf numFmtId="0" fontId="5" fillId="2" borderId="3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shrinkToFit="1"/>
    </xf>
    <xf numFmtId="0" fontId="11" fillId="0" borderId="59" xfId="0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shrinkToFit="1"/>
    </xf>
    <xf numFmtId="0" fontId="11" fillId="0" borderId="79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shrinkToFi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3" fillId="3" borderId="11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5" fillId="2" borderId="117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0" borderId="45" xfId="0" quotePrefix="1" applyFont="1" applyBorder="1" applyAlignment="1">
      <alignment horizontal="center" vertical="center" wrapText="1"/>
    </xf>
    <xf numFmtId="0" fontId="5" fillId="0" borderId="83" xfId="0" quotePrefix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5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37" xfId="0" quotePrefix="1" applyFont="1" applyBorder="1" applyAlignment="1">
      <alignment horizontal="center" vertical="center" wrapText="1"/>
    </xf>
    <xf numFmtId="0" fontId="5" fillId="0" borderId="25" xfId="0" quotePrefix="1" applyFont="1" applyBorder="1" applyAlignment="1">
      <alignment horizontal="center" vertical="center" wrapText="1"/>
    </xf>
    <xf numFmtId="0" fontId="11" fillId="2" borderId="105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118" xfId="0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89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shrinkToFi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49" fontId="5" fillId="0" borderId="80" xfId="0" applyNumberFormat="1" applyFont="1" applyBorder="1" applyAlignment="1">
      <alignment horizontal="center" vertical="center" wrapText="1"/>
    </xf>
    <xf numFmtId="49" fontId="5" fillId="0" borderId="81" xfId="0" applyNumberFormat="1" applyFont="1" applyBorder="1" applyAlignment="1">
      <alignment horizontal="center" vertical="center" wrapText="1"/>
    </xf>
    <xf numFmtId="49" fontId="5" fillId="0" borderId="117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92" xfId="0" applyNumberFormat="1" applyFont="1" applyBorder="1" applyAlignment="1">
      <alignment horizontal="center" vertical="center" wrapText="1"/>
    </xf>
    <xf numFmtId="0" fontId="5" fillId="2" borderId="119" xfId="0" applyFont="1" applyFill="1" applyBorder="1" applyAlignment="1">
      <alignment horizontal="center" vertical="center" wrapText="1"/>
    </xf>
    <xf numFmtId="49" fontId="5" fillId="0" borderId="55" xfId="0" applyNumberFormat="1" applyFont="1" applyBorder="1" applyAlignment="1">
      <alignment horizontal="center" vertical="center" shrinkToFit="1"/>
    </xf>
    <xf numFmtId="49" fontId="11" fillId="0" borderId="29" xfId="0" applyNumberFormat="1" applyFont="1" applyBorder="1" applyAlignment="1">
      <alignment horizontal="center" vertical="center" wrapText="1"/>
    </xf>
    <xf numFmtId="0" fontId="11" fillId="2" borderId="57" xfId="0" quotePrefix="1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40" xfId="0" quotePrefix="1" applyFont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shrinkToFit="1"/>
    </xf>
    <xf numFmtId="49" fontId="11" fillId="0" borderId="19" xfId="0" applyNumberFormat="1" applyFont="1" applyBorder="1" applyAlignment="1">
      <alignment horizontal="center" vertical="center" shrinkToFit="1"/>
    </xf>
    <xf numFmtId="0" fontId="11" fillId="0" borderId="120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91" xfId="0" applyNumberFormat="1" applyFont="1" applyBorder="1" applyAlignment="1">
      <alignment horizontal="center" vertical="center" wrapText="1"/>
    </xf>
    <xf numFmtId="49" fontId="5" fillId="0" borderId="119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vertical="center" wrapText="1"/>
    </xf>
    <xf numFmtId="0" fontId="5" fillId="0" borderId="113" xfId="0" applyFont="1" applyBorder="1" applyAlignment="1">
      <alignment horizontal="center" vertical="center" shrinkToFit="1"/>
    </xf>
    <xf numFmtId="49" fontId="5" fillId="0" borderId="113" xfId="0" applyNumberFormat="1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82" xfId="0" applyNumberFormat="1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49" fontId="5" fillId="0" borderId="61" xfId="0" applyNumberFormat="1" applyFont="1" applyBorder="1" applyAlignment="1">
      <alignment horizontal="center" vertical="center" wrapText="1"/>
    </xf>
    <xf numFmtId="0" fontId="11" fillId="0" borderId="113" xfId="0" applyFont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11" fillId="2" borderId="74" xfId="0" applyFont="1" applyFill="1" applyBorder="1" applyAlignment="1">
      <alignment horizontal="center" vertical="center" wrapText="1"/>
    </xf>
    <xf numFmtId="0" fontId="11" fillId="0" borderId="12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49" fontId="5" fillId="0" borderId="122" xfId="0" applyNumberFormat="1" applyFont="1" applyBorder="1" applyAlignment="1">
      <alignment horizontal="center" vertical="center" wrapText="1"/>
    </xf>
    <xf numFmtId="49" fontId="5" fillId="0" borderId="123" xfId="0" applyNumberFormat="1" applyFont="1" applyBorder="1" applyAlignment="1">
      <alignment horizontal="center" vertical="center" wrapText="1"/>
    </xf>
    <xf numFmtId="49" fontId="5" fillId="0" borderId="124" xfId="0" applyNumberFormat="1" applyFont="1" applyBorder="1" applyAlignment="1">
      <alignment horizontal="center" vertical="center" wrapText="1"/>
    </xf>
    <xf numFmtId="0" fontId="11" fillId="2" borderId="48" xfId="0" quotePrefix="1" applyFont="1" applyFill="1" applyBorder="1" applyAlignment="1">
      <alignment horizontal="center" vertical="center" wrapText="1"/>
    </xf>
    <xf numFmtId="0" fontId="11" fillId="0" borderId="48" xfId="0" quotePrefix="1" applyFont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 wrapText="1"/>
    </xf>
    <xf numFmtId="0" fontId="11" fillId="0" borderId="57" xfId="0" quotePrefix="1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49" fontId="11" fillId="0" borderId="113" xfId="0" applyNumberFormat="1" applyFont="1" applyBorder="1" applyAlignment="1">
      <alignment horizontal="center" vertical="center" wrapText="1"/>
    </xf>
    <xf numFmtId="0" fontId="5" fillId="2" borderId="113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11" fillId="2" borderId="125" xfId="0" quotePrefix="1" applyFont="1" applyFill="1" applyBorder="1" applyAlignment="1">
      <alignment horizontal="center" vertical="center" wrapText="1"/>
    </xf>
    <xf numFmtId="0" fontId="11" fillId="2" borderId="95" xfId="0" quotePrefix="1" applyFont="1" applyFill="1" applyBorder="1" applyAlignment="1">
      <alignment horizontal="center" vertical="center" wrapText="1"/>
    </xf>
    <xf numFmtId="0" fontId="11" fillId="0" borderId="94" xfId="0" quotePrefix="1" applyFont="1" applyBorder="1" applyAlignment="1">
      <alignment horizontal="center" vertical="center" wrapText="1"/>
    </xf>
    <xf numFmtId="0" fontId="11" fillId="0" borderId="95" xfId="0" quotePrefix="1" applyFont="1" applyBorder="1" applyAlignment="1">
      <alignment horizontal="center" vertical="center" wrapText="1"/>
    </xf>
    <xf numFmtId="49" fontId="11" fillId="0" borderId="113" xfId="0" applyNumberFormat="1" applyFont="1" applyBorder="1" applyAlignment="1">
      <alignment horizontal="center" vertical="center" shrinkToFit="1"/>
    </xf>
    <xf numFmtId="0" fontId="11" fillId="4" borderId="126" xfId="0" applyFont="1" applyFill="1" applyBorder="1" applyAlignment="1">
      <alignment horizontal="center" vertical="center" wrapText="1"/>
    </xf>
    <xf numFmtId="0" fontId="0" fillId="0" borderId="54" xfId="0" applyBorder="1"/>
    <xf numFmtId="0" fontId="0" fillId="0" borderId="97" xfId="0" applyBorder="1"/>
    <xf numFmtId="0" fontId="11" fillId="0" borderId="76" xfId="0" applyFont="1" applyBorder="1" applyAlignment="1">
      <alignment horizontal="center" vertical="center" wrapText="1"/>
    </xf>
    <xf numFmtId="0" fontId="0" fillId="0" borderId="77" xfId="0" applyBorder="1"/>
    <xf numFmtId="0" fontId="11" fillId="0" borderId="114" xfId="0" applyFont="1" applyBorder="1" applyAlignment="1">
      <alignment horizontal="center" vertical="center" wrapText="1"/>
    </xf>
    <xf numFmtId="0" fontId="0" fillId="0" borderId="33" xfId="0" applyBorder="1"/>
    <xf numFmtId="0" fontId="11" fillId="0" borderId="133" xfId="0" applyFont="1" applyBorder="1" applyAlignment="1">
      <alignment horizontal="center" vertical="center" wrapText="1"/>
    </xf>
    <xf numFmtId="0" fontId="0" fillId="0" borderId="78" xfId="0" applyBorder="1"/>
    <xf numFmtId="0" fontId="10" fillId="3" borderId="131" xfId="0" applyFont="1" applyFill="1" applyBorder="1" applyAlignment="1">
      <alignment horizontal="left" vertical="top" wrapText="1"/>
    </xf>
    <xf numFmtId="0" fontId="0" fillId="0" borderId="84" xfId="0" applyBorder="1"/>
    <xf numFmtId="0" fontId="0" fillId="0" borderId="85" xfId="0" applyBorder="1"/>
    <xf numFmtId="0" fontId="0" fillId="0" borderId="71" xfId="0" applyBorder="1"/>
    <xf numFmtId="0" fontId="0" fillId="0" borderId="0" xfId="0" applyAlignment="1">
      <alignment horizontal="center" vertical="center"/>
    </xf>
    <xf numFmtId="0" fontId="0" fillId="0" borderId="86" xfId="0" applyBorder="1"/>
    <xf numFmtId="0" fontId="0" fillId="0" borderId="64" xfId="0" applyBorder="1"/>
    <xf numFmtId="0" fontId="0" fillId="0" borderId="9" xfId="0" applyBorder="1"/>
    <xf numFmtId="0" fontId="0" fillId="0" borderId="32" xfId="0" applyBorder="1"/>
    <xf numFmtId="0" fontId="11" fillId="0" borderId="115" xfId="0" applyFont="1" applyBorder="1" applyAlignment="1">
      <alignment horizontal="center" vertical="center" wrapText="1"/>
    </xf>
    <xf numFmtId="0" fontId="0" fillId="0" borderId="60" xfId="0" applyBorder="1"/>
    <xf numFmtId="0" fontId="11" fillId="0" borderId="79" xfId="0" applyFont="1" applyBorder="1" applyAlignment="1">
      <alignment horizontal="center" vertical="center" wrapText="1"/>
    </xf>
    <xf numFmtId="0" fontId="11" fillId="0" borderId="128" xfId="0" applyFont="1" applyBorder="1" applyAlignment="1">
      <alignment horizontal="center" vertical="center" wrapText="1"/>
    </xf>
    <xf numFmtId="0" fontId="3" fillId="3" borderId="130" xfId="0" applyFont="1" applyFill="1" applyBorder="1" applyAlignment="1">
      <alignment horizontal="center" vertical="center" wrapText="1"/>
    </xf>
    <xf numFmtId="0" fontId="0" fillId="0" borderId="50" xfId="0" applyBorder="1"/>
    <xf numFmtId="0" fontId="11" fillId="0" borderId="100" xfId="0" applyFont="1" applyBorder="1" applyAlignment="1">
      <alignment horizontal="center" vertical="center" wrapText="1"/>
    </xf>
    <xf numFmtId="0" fontId="0" fillId="0" borderId="100" xfId="0" applyBorder="1"/>
    <xf numFmtId="0" fontId="11" fillId="0" borderId="126" xfId="0" applyFont="1" applyBorder="1" applyAlignment="1">
      <alignment horizontal="center" vertical="center" wrapText="1"/>
    </xf>
    <xf numFmtId="0" fontId="3" fillId="3" borderId="10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/>
    <xf numFmtId="0" fontId="11" fillId="0" borderId="132" xfId="0" applyFont="1" applyBorder="1" applyAlignment="1">
      <alignment horizontal="center" vertical="center" wrapText="1"/>
    </xf>
    <xf numFmtId="0" fontId="5" fillId="0" borderId="127" xfId="0" applyFont="1" applyBorder="1" applyAlignment="1">
      <alignment horizontal="center" vertical="center" wrapText="1"/>
    </xf>
    <xf numFmtId="0" fontId="11" fillId="2" borderId="101" xfId="0" applyFont="1" applyFill="1" applyBorder="1" applyAlignment="1">
      <alignment horizontal="center" vertical="center" wrapText="1"/>
    </xf>
    <xf numFmtId="0" fontId="11" fillId="0" borderId="118" xfId="0" applyFont="1" applyBorder="1" applyAlignment="1">
      <alignment horizontal="center" vertical="center" wrapText="1"/>
    </xf>
    <xf numFmtId="0" fontId="0" fillId="0" borderId="90" xfId="0" applyBorder="1"/>
    <xf numFmtId="0" fontId="0" fillId="0" borderId="73" xfId="0" applyBorder="1"/>
    <xf numFmtId="0" fontId="11" fillId="0" borderId="1" xfId="0" applyFont="1" applyBorder="1" applyAlignment="1">
      <alignment horizontal="center" vertical="center" wrapText="1"/>
    </xf>
    <xf numFmtId="0" fontId="0" fillId="0" borderId="3" xfId="0" applyBorder="1"/>
    <xf numFmtId="0" fontId="11" fillId="0" borderId="135" xfId="0" applyFont="1" applyBorder="1" applyAlignment="1">
      <alignment horizontal="center" vertical="center" wrapText="1"/>
    </xf>
    <xf numFmtId="0" fontId="0" fillId="0" borderId="72" xfId="0" applyBorder="1"/>
    <xf numFmtId="0" fontId="0" fillId="0" borderId="53" xfId="0" applyBorder="1"/>
    <xf numFmtId="0" fontId="11" fillId="0" borderId="52" xfId="0" applyFont="1" applyBorder="1" applyAlignment="1">
      <alignment horizontal="center" vertical="center" wrapText="1"/>
    </xf>
    <xf numFmtId="0" fontId="3" fillId="3" borderId="12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127" xfId="0" applyFont="1" applyBorder="1" applyAlignment="1">
      <alignment horizontal="center" vertical="center" wrapText="1"/>
    </xf>
    <xf numFmtId="0" fontId="3" fillId="3" borderId="12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32" xfId="0" applyFont="1" applyBorder="1" applyAlignment="1">
      <alignment horizontal="center" vertical="center" wrapText="1"/>
    </xf>
    <xf numFmtId="0" fontId="3" fillId="3" borderId="131" xfId="0" applyFont="1" applyFill="1" applyBorder="1" applyAlignment="1">
      <alignment horizontal="center" vertical="center" wrapText="1"/>
    </xf>
    <xf numFmtId="0" fontId="0" fillId="0" borderId="62" xfId="0" applyBorder="1"/>
    <xf numFmtId="0" fontId="3" fillId="3" borderId="1" xfId="0" applyFont="1" applyFill="1" applyBorder="1" applyAlignment="1">
      <alignment horizontal="center" vertical="center" wrapText="1"/>
    </xf>
    <xf numFmtId="0" fontId="11" fillId="4" borderId="52" xfId="0" applyFont="1" applyFill="1" applyBorder="1" applyAlignment="1">
      <alignment horizontal="center" vertical="center" wrapText="1"/>
    </xf>
    <xf numFmtId="0" fontId="11" fillId="5" borderId="135" xfId="0" applyFont="1" applyFill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0" fillId="0" borderId="65" xfId="0" applyBorder="1"/>
    <xf numFmtId="0" fontId="0" fillId="0" borderId="6" xfId="0" applyBorder="1"/>
    <xf numFmtId="0" fontId="3" fillId="3" borderId="129" xfId="0" applyFont="1" applyFill="1" applyBorder="1" applyAlignment="1">
      <alignment horizontal="center" vertical="center" wrapText="1"/>
    </xf>
    <xf numFmtId="0" fontId="0" fillId="0" borderId="63" xfId="0" applyBorder="1"/>
    <xf numFmtId="0" fontId="0" fillId="0" borderId="98" xfId="0" applyBorder="1"/>
    <xf numFmtId="0" fontId="3" fillId="3" borderId="134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04" xfId="0" applyBorder="1"/>
    <xf numFmtId="0" fontId="0" fillId="0" borderId="99" xfId="0" applyBorder="1"/>
    <xf numFmtId="0" fontId="11" fillId="0" borderId="2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0" fillId="0" borderId="131" xfId="0" applyFont="1" applyBorder="1" applyAlignment="1">
      <alignment horizontal="center" vertical="center" wrapText="1"/>
    </xf>
    <xf numFmtId="0" fontId="11" fillId="0" borderId="11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97" xfId="0" applyFont="1" applyBorder="1" applyAlignment="1">
      <alignment horizontal="center" vertical="center" wrapText="1"/>
    </xf>
    <xf numFmtId="0" fontId="5" fillId="0" borderId="100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/>
    <xf numFmtId="0" fontId="11" fillId="2" borderId="3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51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hair">
          <color rgb="FF000000"/>
        </bottom>
      </border>
    </dxf>
    <dxf>
      <font>
        <strike val="0"/>
        <outline val="0"/>
        <shadow val="0"/>
        <vertAlign val="baseline"/>
        <name val="맑은 고딕"/>
        <family val="3"/>
        <charset val="129"/>
      </font>
      <fill>
        <patternFill patternType="solid">
          <fgColor rgb="FF000000"/>
          <bgColor rgb="FFFFFFFF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50"/>
    </tableStyle>
    <tableStyle name="표 스타일 2" pivot="0" count="1" xr9:uid="{00000000-0011-0000-FFFF-FFFF01000000}">
      <tableStyleElement type="lastColumn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3" displayName="표3" ref="E7:H105" headerRowCount="0" totalsRowShown="0" headerRowDxfId="48" dataDxfId="47" tableBorderDxfId="46">
  <tableColumns count="4">
    <tableColumn id="1" xr3:uid="{00000000-0010-0000-0000-000001000000}" name="기준_x000a_학점" headerRowDxfId="45" dataDxfId="44">
      <calculatedColumnFormula>IFERROR(VLOOKUP(D7, 기본학점, 2, FALSE), "")</calculatedColumnFormula>
    </tableColumn>
    <tableColumn id="2" xr3:uid="{00000000-0010-0000-0000-000002000000}" name="운영_x000a_학점" headerRowDxfId="43" dataDxfId="42"/>
    <tableColumn id="3" xr3:uid="{00000000-0010-0000-0000-000003000000}" name="세로 막대형1" headerRowDxfId="41" dataDxfId="40"/>
    <tableColumn id="4" xr3:uid="{00000000-0010-0000-0000-000004000000}" name="세로 막대형2" headerRowDxfId="39" dataDxfId="38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3_3" displayName="표3_3" ref="E7:H101" headerRowCount="0" totalsRowShown="0" headerRowDxfId="37" dataDxfId="36" tableBorderDxfId="35">
  <tableColumns count="4">
    <tableColumn id="1" xr3:uid="{00000000-0010-0000-0100-000001000000}" name="기준_x000a_학점" headerRowDxfId="34" dataDxfId="33">
      <calculatedColumnFormula>IFERROR(VLOOKUP(D7, 기본학점, 2, FALSE), "")</calculatedColumnFormula>
    </tableColumn>
    <tableColumn id="2" xr3:uid="{00000000-0010-0000-0100-000002000000}" name="운영_x000a_학점" headerRowDxfId="32" dataDxfId="31"/>
    <tableColumn id="3" xr3:uid="{00000000-0010-0000-0100-000003000000}" name="세로 막대형1" headerRowDxfId="30" dataDxfId="29"/>
    <tableColumn id="4" xr3:uid="{00000000-0010-0000-0100-000004000000}" name="세로 막대형2" headerRowDxfId="28" dataDxfId="2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19"/>
  <sheetViews>
    <sheetView tabSelected="1" topLeftCell="A43" zoomScale="115" zoomScaleNormal="115" zoomScaleSheetLayoutView="100" workbookViewId="0">
      <selection activeCell="J51" sqref="J51"/>
    </sheetView>
  </sheetViews>
  <sheetFormatPr defaultRowHeight="14.15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64062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6640625" customWidth="1"/>
    <col min="252" max="259" width="5.796875" customWidth="1"/>
    <col min="260" max="260" width="7.06640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6640625" customWidth="1"/>
    <col min="508" max="515" width="5.796875" customWidth="1"/>
    <col min="516" max="516" width="7.06640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6640625" customWidth="1"/>
    <col min="764" max="771" width="5.796875" customWidth="1"/>
    <col min="772" max="772" width="7.06640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6640625" customWidth="1"/>
    <col min="1020" max="1027" width="5.796875" customWidth="1"/>
    <col min="1028" max="1028" width="7.06640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6640625" customWidth="1"/>
    <col min="1276" max="1283" width="5.796875" customWidth="1"/>
    <col min="1284" max="1284" width="7.06640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6640625" customWidth="1"/>
    <col min="1532" max="1539" width="5.796875" customWidth="1"/>
    <col min="1540" max="1540" width="7.06640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6640625" customWidth="1"/>
    <col min="1788" max="1795" width="5.796875" customWidth="1"/>
    <col min="1796" max="1796" width="7.06640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6640625" customWidth="1"/>
    <col min="2044" max="2051" width="5.796875" customWidth="1"/>
    <col min="2052" max="2052" width="7.06640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6640625" customWidth="1"/>
    <col min="2300" max="2307" width="5.796875" customWidth="1"/>
    <col min="2308" max="2308" width="7.06640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6640625" customWidth="1"/>
    <col min="2556" max="2563" width="5.796875" customWidth="1"/>
    <col min="2564" max="2564" width="7.06640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6640625" customWidth="1"/>
    <col min="2812" max="2819" width="5.796875" customWidth="1"/>
    <col min="2820" max="2820" width="7.06640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6640625" customWidth="1"/>
    <col min="3068" max="3075" width="5.796875" customWidth="1"/>
    <col min="3076" max="3076" width="7.06640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6640625" customWidth="1"/>
    <col min="3324" max="3331" width="5.796875" customWidth="1"/>
    <col min="3332" max="3332" width="7.06640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6640625" customWidth="1"/>
    <col min="3580" max="3587" width="5.796875" customWidth="1"/>
    <col min="3588" max="3588" width="7.06640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6640625" customWidth="1"/>
    <col min="3836" max="3843" width="5.796875" customWidth="1"/>
    <col min="3844" max="3844" width="7.06640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6640625" customWidth="1"/>
    <col min="4092" max="4099" width="5.796875" customWidth="1"/>
    <col min="4100" max="4100" width="7.06640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6640625" customWidth="1"/>
    <col min="4348" max="4355" width="5.796875" customWidth="1"/>
    <col min="4356" max="4356" width="7.06640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6640625" customWidth="1"/>
    <col min="4604" max="4611" width="5.796875" customWidth="1"/>
    <col min="4612" max="4612" width="7.06640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6640625" customWidth="1"/>
    <col min="4860" max="4867" width="5.796875" customWidth="1"/>
    <col min="4868" max="4868" width="7.06640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6640625" customWidth="1"/>
    <col min="5116" max="5123" width="5.796875" customWidth="1"/>
    <col min="5124" max="5124" width="7.06640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6640625" customWidth="1"/>
    <col min="5372" max="5379" width="5.796875" customWidth="1"/>
    <col min="5380" max="5380" width="7.06640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6640625" customWidth="1"/>
    <col min="5628" max="5635" width="5.796875" customWidth="1"/>
    <col min="5636" max="5636" width="7.06640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6640625" customWidth="1"/>
    <col min="5884" max="5891" width="5.796875" customWidth="1"/>
    <col min="5892" max="5892" width="7.06640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6640625" customWidth="1"/>
    <col min="6140" max="6147" width="5.796875" customWidth="1"/>
    <col min="6148" max="6148" width="7.06640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6640625" customWidth="1"/>
    <col min="6396" max="6403" width="5.796875" customWidth="1"/>
    <col min="6404" max="6404" width="7.06640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6640625" customWidth="1"/>
    <col min="6652" max="6659" width="5.796875" customWidth="1"/>
    <col min="6660" max="6660" width="7.06640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6640625" customWidth="1"/>
    <col min="6908" max="6915" width="5.796875" customWidth="1"/>
    <col min="6916" max="6916" width="7.06640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6640625" customWidth="1"/>
    <col min="7164" max="7171" width="5.796875" customWidth="1"/>
    <col min="7172" max="7172" width="7.06640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6640625" customWidth="1"/>
    <col min="7420" max="7427" width="5.796875" customWidth="1"/>
    <col min="7428" max="7428" width="7.06640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6640625" customWidth="1"/>
    <col min="7676" max="7683" width="5.796875" customWidth="1"/>
    <col min="7684" max="7684" width="7.06640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6640625" customWidth="1"/>
    <col min="7932" max="7939" width="5.796875" customWidth="1"/>
    <col min="7940" max="7940" width="7.06640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6640625" customWidth="1"/>
    <col min="8188" max="8195" width="5.796875" customWidth="1"/>
    <col min="8196" max="8196" width="7.06640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6640625" customWidth="1"/>
    <col min="8444" max="8451" width="5.796875" customWidth="1"/>
    <col min="8452" max="8452" width="7.06640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6640625" customWidth="1"/>
    <col min="8700" max="8707" width="5.796875" customWidth="1"/>
    <col min="8708" max="8708" width="7.06640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6640625" customWidth="1"/>
    <col min="8956" max="8963" width="5.796875" customWidth="1"/>
    <col min="8964" max="8964" width="7.06640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6640625" customWidth="1"/>
    <col min="9212" max="9219" width="5.796875" customWidth="1"/>
    <col min="9220" max="9220" width="7.06640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6640625" customWidth="1"/>
    <col min="9468" max="9475" width="5.796875" customWidth="1"/>
    <col min="9476" max="9476" width="7.06640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6640625" customWidth="1"/>
    <col min="9724" max="9731" width="5.796875" customWidth="1"/>
    <col min="9732" max="9732" width="7.06640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6640625" customWidth="1"/>
    <col min="9980" max="9987" width="5.796875" customWidth="1"/>
    <col min="9988" max="9988" width="7.06640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6640625" customWidth="1"/>
    <col min="10236" max="10243" width="5.796875" customWidth="1"/>
    <col min="10244" max="10244" width="7.06640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6640625" customWidth="1"/>
    <col min="10492" max="10499" width="5.796875" customWidth="1"/>
    <col min="10500" max="10500" width="7.06640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6640625" customWidth="1"/>
    <col min="10748" max="10755" width="5.796875" customWidth="1"/>
    <col min="10756" max="10756" width="7.06640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6640625" customWidth="1"/>
    <col min="11004" max="11011" width="5.796875" customWidth="1"/>
    <col min="11012" max="11012" width="7.06640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6640625" customWidth="1"/>
    <col min="11260" max="11267" width="5.796875" customWidth="1"/>
    <col min="11268" max="11268" width="7.06640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6640625" customWidth="1"/>
    <col min="11516" max="11523" width="5.796875" customWidth="1"/>
    <col min="11524" max="11524" width="7.06640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6640625" customWidth="1"/>
    <col min="11772" max="11779" width="5.796875" customWidth="1"/>
    <col min="11780" max="11780" width="7.06640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6640625" customWidth="1"/>
    <col min="12028" max="12035" width="5.796875" customWidth="1"/>
    <col min="12036" max="12036" width="7.06640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6640625" customWidth="1"/>
    <col min="12284" max="12291" width="5.796875" customWidth="1"/>
    <col min="12292" max="12292" width="7.06640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6640625" customWidth="1"/>
    <col min="12540" max="12547" width="5.796875" customWidth="1"/>
    <col min="12548" max="12548" width="7.06640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6640625" customWidth="1"/>
    <col min="12796" max="12803" width="5.796875" customWidth="1"/>
    <col min="12804" max="12804" width="7.06640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6640625" customWidth="1"/>
    <col min="13052" max="13059" width="5.796875" customWidth="1"/>
    <col min="13060" max="13060" width="7.06640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6640625" customWidth="1"/>
    <col min="13308" max="13315" width="5.796875" customWidth="1"/>
    <col min="13316" max="13316" width="7.06640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6640625" customWidth="1"/>
    <col min="13564" max="13571" width="5.796875" customWidth="1"/>
    <col min="13572" max="13572" width="7.06640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6640625" customWidth="1"/>
    <col min="13820" max="13827" width="5.796875" customWidth="1"/>
    <col min="13828" max="13828" width="7.06640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6640625" customWidth="1"/>
    <col min="14076" max="14083" width="5.796875" customWidth="1"/>
    <col min="14084" max="14084" width="7.06640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6640625" customWidth="1"/>
    <col min="14332" max="14339" width="5.796875" customWidth="1"/>
    <col min="14340" max="14340" width="7.06640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6640625" customWidth="1"/>
    <col min="14588" max="14595" width="5.796875" customWidth="1"/>
    <col min="14596" max="14596" width="7.06640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6640625" customWidth="1"/>
    <col min="14844" max="14851" width="5.796875" customWidth="1"/>
    <col min="14852" max="14852" width="7.06640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6640625" customWidth="1"/>
    <col min="15100" max="15107" width="5.796875" customWidth="1"/>
    <col min="15108" max="15108" width="7.06640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6640625" customWidth="1"/>
    <col min="15356" max="15363" width="5.796875" customWidth="1"/>
    <col min="15364" max="15364" width="7.06640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6640625" customWidth="1"/>
    <col min="15612" max="15619" width="5.796875" customWidth="1"/>
    <col min="15620" max="15620" width="7.06640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6640625" customWidth="1"/>
    <col min="15868" max="15875" width="5.796875" customWidth="1"/>
    <col min="15876" max="15876" width="7.06640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6640625" customWidth="1"/>
    <col min="16124" max="16131" width="5.796875" customWidth="1"/>
    <col min="16132" max="16132" width="7.06640625" customWidth="1"/>
    <col min="16133" max="16134" width="5.796875" customWidth="1"/>
    <col min="16135" max="16135" width="6" customWidth="1"/>
  </cols>
  <sheetData>
    <row r="1" spans="1:16" ht="47.25" customHeight="1">
      <c r="A1" s="394" t="s">
        <v>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</row>
    <row r="2" spans="1:16" ht="29.25" customHeight="1" thickBot="1">
      <c r="A2" s="413" t="s">
        <v>130</v>
      </c>
      <c r="B2" s="364"/>
      <c r="C2" s="364"/>
      <c r="D2" s="364"/>
      <c r="E2" s="185"/>
      <c r="F2" s="3"/>
      <c r="G2" s="2"/>
      <c r="H2" s="2"/>
      <c r="I2" s="2"/>
      <c r="J2" s="2"/>
      <c r="K2" s="391"/>
      <c r="L2" s="364"/>
      <c r="M2" s="364"/>
      <c r="N2" s="364"/>
      <c r="O2" s="364"/>
      <c r="P2" s="364"/>
    </row>
    <row r="3" spans="1:16" ht="16.5" customHeight="1">
      <c r="A3" s="396" t="s">
        <v>1</v>
      </c>
      <c r="B3" s="393" t="s">
        <v>2</v>
      </c>
      <c r="C3" s="375" t="s">
        <v>3</v>
      </c>
      <c r="D3" s="375" t="s">
        <v>4</v>
      </c>
      <c r="E3" s="375" t="s">
        <v>5</v>
      </c>
      <c r="F3" s="375" t="s">
        <v>6</v>
      </c>
      <c r="G3" s="398" t="s">
        <v>7</v>
      </c>
      <c r="H3" s="383"/>
      <c r="I3" s="398" t="s">
        <v>8</v>
      </c>
      <c r="J3" s="383"/>
      <c r="K3" s="398" t="s">
        <v>9</v>
      </c>
      <c r="L3" s="383"/>
      <c r="M3" s="375" t="s">
        <v>10</v>
      </c>
      <c r="N3" s="407" t="s">
        <v>11</v>
      </c>
      <c r="O3" s="375" t="s">
        <v>12</v>
      </c>
      <c r="P3" s="390" t="s">
        <v>13</v>
      </c>
    </row>
    <row r="4" spans="1:16" ht="14.4" customHeight="1">
      <c r="A4" s="388"/>
      <c r="B4" s="352"/>
      <c r="C4" s="376"/>
      <c r="D4" s="376"/>
      <c r="E4" s="376"/>
      <c r="F4" s="376"/>
      <c r="G4" s="404" t="s">
        <v>14</v>
      </c>
      <c r="H4" s="370" t="s">
        <v>15</v>
      </c>
      <c r="I4" s="404" t="s">
        <v>14</v>
      </c>
      <c r="J4" s="370" t="s">
        <v>15</v>
      </c>
      <c r="K4" s="404" t="s">
        <v>14</v>
      </c>
      <c r="L4" s="370" t="s">
        <v>15</v>
      </c>
      <c r="M4" s="376"/>
      <c r="N4" s="408"/>
      <c r="O4" s="376"/>
      <c r="P4" s="349"/>
    </row>
    <row r="5" spans="1:16" ht="14.4" customHeight="1" thickBot="1">
      <c r="A5" s="397"/>
      <c r="B5" s="373"/>
      <c r="C5" s="377"/>
      <c r="D5" s="377"/>
      <c r="E5" s="377"/>
      <c r="F5" s="377"/>
      <c r="G5" s="405"/>
      <c r="H5" s="371"/>
      <c r="I5" s="405"/>
      <c r="J5" s="371"/>
      <c r="K5" s="405"/>
      <c r="L5" s="371"/>
      <c r="M5" s="377"/>
      <c r="N5" s="409"/>
      <c r="O5" s="377"/>
      <c r="P5" s="350"/>
    </row>
    <row r="6" spans="1:16" ht="14.4" hidden="1" customHeight="1" thickBot="1">
      <c r="A6" s="109"/>
      <c r="B6" s="110"/>
      <c r="C6" s="128"/>
      <c r="D6" s="108"/>
      <c r="G6" s="127"/>
      <c r="H6" s="129"/>
      <c r="I6" s="130"/>
      <c r="J6" s="129"/>
      <c r="K6" s="130"/>
      <c r="L6" s="250"/>
      <c r="M6" s="251"/>
      <c r="N6" s="169"/>
      <c r="O6" s="111"/>
      <c r="P6" s="112"/>
    </row>
    <row r="7" spans="1:16" ht="15.65" customHeight="1" thickBot="1">
      <c r="A7" s="412" t="s">
        <v>16</v>
      </c>
      <c r="B7" s="392" t="s">
        <v>17</v>
      </c>
      <c r="C7" s="113" t="s">
        <v>18</v>
      </c>
      <c r="D7" s="190" t="s">
        <v>19</v>
      </c>
      <c r="E7" s="217">
        <f t="shared" ref="E7:E38" si="0">IFERROR(VLOOKUP(D7, 기본학점, 2, FALSE), "")</f>
        <v>4</v>
      </c>
      <c r="F7" s="222">
        <v>3</v>
      </c>
      <c r="G7" s="211">
        <v>3</v>
      </c>
      <c r="H7" s="212"/>
      <c r="I7" s="74"/>
      <c r="J7" s="73"/>
      <c r="K7" s="74"/>
      <c r="L7" s="273"/>
      <c r="M7" s="274"/>
      <c r="N7" s="294"/>
      <c r="O7" s="379">
        <f>SUM(F7:F11)</f>
        <v>18</v>
      </c>
      <c r="P7" s="374">
        <v>8</v>
      </c>
    </row>
    <row r="8" spans="1:16" ht="15.65" customHeight="1">
      <c r="A8" s="388"/>
      <c r="B8" s="352"/>
      <c r="C8" s="215" t="s">
        <v>18</v>
      </c>
      <c r="D8" s="192" t="s">
        <v>20</v>
      </c>
      <c r="E8" s="204">
        <f t="shared" si="0"/>
        <v>4</v>
      </c>
      <c r="F8" s="163">
        <v>3</v>
      </c>
      <c r="G8" s="137"/>
      <c r="H8" s="141">
        <v>3</v>
      </c>
      <c r="I8" s="77"/>
      <c r="J8" s="76"/>
      <c r="K8" s="77"/>
      <c r="L8" s="78"/>
      <c r="M8" s="191"/>
      <c r="N8" s="295"/>
      <c r="O8" s="352"/>
      <c r="P8" s="349"/>
    </row>
    <row r="9" spans="1:16" ht="15.65" customHeight="1">
      <c r="A9" s="388"/>
      <c r="B9" s="352"/>
      <c r="C9" s="215" t="s">
        <v>21</v>
      </c>
      <c r="D9" s="192" t="s">
        <v>22</v>
      </c>
      <c r="E9" s="204">
        <f t="shared" si="0"/>
        <v>4</v>
      </c>
      <c r="F9" s="163">
        <v>4</v>
      </c>
      <c r="G9" s="137"/>
      <c r="H9" s="141"/>
      <c r="I9" s="77">
        <v>4</v>
      </c>
      <c r="J9" s="76"/>
      <c r="K9" s="77"/>
      <c r="L9" s="78"/>
      <c r="M9" s="191"/>
      <c r="N9" s="295"/>
      <c r="O9" s="352"/>
      <c r="P9" s="349"/>
    </row>
    <row r="10" spans="1:16" ht="15.65" customHeight="1">
      <c r="A10" s="388"/>
      <c r="B10" s="352"/>
      <c r="C10" s="215" t="s">
        <v>21</v>
      </c>
      <c r="D10" s="192" t="s">
        <v>23</v>
      </c>
      <c r="E10" s="183">
        <f t="shared" si="0"/>
        <v>4</v>
      </c>
      <c r="F10" s="119">
        <v>4</v>
      </c>
      <c r="G10" s="137"/>
      <c r="H10" s="141"/>
      <c r="I10" s="77"/>
      <c r="J10" s="76">
        <v>4</v>
      </c>
      <c r="K10" s="77"/>
      <c r="L10" s="78"/>
      <c r="M10" s="191"/>
      <c r="N10" s="295"/>
      <c r="O10" s="352"/>
      <c r="P10" s="349"/>
    </row>
    <row r="11" spans="1:16" ht="15.65" customHeight="1" thickBot="1">
      <c r="A11" s="388"/>
      <c r="B11" s="373"/>
      <c r="C11" s="252" t="s">
        <v>21</v>
      </c>
      <c r="D11" s="235" t="s">
        <v>24</v>
      </c>
      <c r="E11" s="253">
        <f t="shared" si="0"/>
        <v>4</v>
      </c>
      <c r="F11" s="254">
        <v>4</v>
      </c>
      <c r="G11" s="255"/>
      <c r="H11" s="256"/>
      <c r="I11" s="257"/>
      <c r="J11" s="258"/>
      <c r="K11" s="257">
        <v>4</v>
      </c>
      <c r="L11" s="259"/>
      <c r="M11" s="198"/>
      <c r="N11" s="296"/>
      <c r="O11" s="373"/>
      <c r="P11" s="350"/>
    </row>
    <row r="12" spans="1:16" ht="15.65" customHeight="1">
      <c r="A12" s="388"/>
      <c r="B12" s="392" t="s">
        <v>25</v>
      </c>
      <c r="C12" s="175" t="s">
        <v>18</v>
      </c>
      <c r="D12" s="190" t="s">
        <v>26</v>
      </c>
      <c r="E12" s="217">
        <f t="shared" si="0"/>
        <v>4</v>
      </c>
      <c r="F12" s="164">
        <v>4</v>
      </c>
      <c r="G12" s="275">
        <v>4</v>
      </c>
      <c r="H12" s="212"/>
      <c r="I12" s="74"/>
      <c r="J12" s="73"/>
      <c r="K12" s="275"/>
      <c r="L12" s="212"/>
      <c r="M12" s="274"/>
      <c r="N12" s="294"/>
      <c r="O12" s="379">
        <f>SUM(F12:F16)</f>
        <v>20</v>
      </c>
      <c r="P12" s="374">
        <v>8</v>
      </c>
    </row>
    <row r="13" spans="1:16" ht="15.65" customHeight="1">
      <c r="A13" s="388"/>
      <c r="B13" s="352"/>
      <c r="C13" s="157" t="s">
        <v>18</v>
      </c>
      <c r="D13" s="192" t="s">
        <v>27</v>
      </c>
      <c r="E13" s="204">
        <f t="shared" si="0"/>
        <v>4</v>
      </c>
      <c r="F13" s="184">
        <v>4</v>
      </c>
      <c r="G13" s="122"/>
      <c r="H13" s="141">
        <v>4</v>
      </c>
      <c r="I13" s="77"/>
      <c r="J13" s="76"/>
      <c r="K13" s="122"/>
      <c r="L13" s="141"/>
      <c r="M13" s="191"/>
      <c r="N13" s="295"/>
      <c r="O13" s="352"/>
      <c r="P13" s="349"/>
    </row>
    <row r="14" spans="1:16" ht="15.65" customHeight="1">
      <c r="A14" s="388"/>
      <c r="B14" s="352"/>
      <c r="C14" s="157" t="s">
        <v>21</v>
      </c>
      <c r="D14" s="192" t="s">
        <v>28</v>
      </c>
      <c r="E14" s="204">
        <f t="shared" si="0"/>
        <v>4</v>
      </c>
      <c r="F14" s="163">
        <v>4</v>
      </c>
      <c r="G14" s="122"/>
      <c r="H14" s="141"/>
      <c r="I14" s="77">
        <v>4</v>
      </c>
      <c r="J14" s="76"/>
      <c r="K14" s="122"/>
      <c r="L14" s="141"/>
      <c r="M14" s="191"/>
      <c r="N14" s="295"/>
      <c r="O14" s="352"/>
      <c r="P14" s="349"/>
    </row>
    <row r="15" spans="1:16" ht="15.65" customHeight="1">
      <c r="A15" s="388"/>
      <c r="B15" s="352"/>
      <c r="C15" s="157" t="s">
        <v>21</v>
      </c>
      <c r="D15" s="192" t="s">
        <v>29</v>
      </c>
      <c r="E15" s="183">
        <f t="shared" si="0"/>
        <v>4</v>
      </c>
      <c r="F15" s="119">
        <v>4</v>
      </c>
      <c r="G15" s="122"/>
      <c r="H15" s="141"/>
      <c r="I15" s="77"/>
      <c r="J15" s="76">
        <v>4</v>
      </c>
      <c r="K15" s="122"/>
      <c r="L15" s="141"/>
      <c r="M15" s="191"/>
      <c r="N15" s="295"/>
      <c r="O15" s="352"/>
      <c r="P15" s="349"/>
    </row>
    <row r="16" spans="1:16" ht="15.65" customHeight="1" thickBot="1">
      <c r="A16" s="388"/>
      <c r="B16" s="373"/>
      <c r="C16" s="260" t="s">
        <v>21</v>
      </c>
      <c r="D16" s="235" t="s">
        <v>30</v>
      </c>
      <c r="E16" s="253">
        <f t="shared" si="0"/>
        <v>4</v>
      </c>
      <c r="F16" s="254">
        <v>4</v>
      </c>
      <c r="G16" s="261"/>
      <c r="H16" s="256"/>
      <c r="I16" s="257"/>
      <c r="J16" s="258"/>
      <c r="K16" s="261">
        <v>4</v>
      </c>
      <c r="L16" s="256"/>
      <c r="M16" s="198"/>
      <c r="N16" s="296"/>
      <c r="O16" s="373"/>
      <c r="P16" s="350"/>
    </row>
    <row r="17" spans="1:20" ht="15.65" customHeight="1">
      <c r="A17" s="388"/>
      <c r="B17" s="392" t="s">
        <v>31</v>
      </c>
      <c r="C17" s="175" t="s">
        <v>18</v>
      </c>
      <c r="D17" s="190" t="s">
        <v>32</v>
      </c>
      <c r="E17" s="217">
        <f t="shared" si="0"/>
        <v>4</v>
      </c>
      <c r="F17" s="222">
        <v>3</v>
      </c>
      <c r="G17" s="211">
        <v>3</v>
      </c>
      <c r="H17" s="212"/>
      <c r="I17" s="74"/>
      <c r="J17" s="73"/>
      <c r="K17" s="74"/>
      <c r="L17" s="73"/>
      <c r="M17" s="274"/>
      <c r="N17" s="294"/>
      <c r="O17" s="379">
        <f>SUM(F17:F20)</f>
        <v>14</v>
      </c>
      <c r="P17" s="374">
        <v>8</v>
      </c>
    </row>
    <row r="18" spans="1:20" ht="15.65" customHeight="1">
      <c r="A18" s="388"/>
      <c r="B18" s="352"/>
      <c r="C18" s="157" t="s">
        <v>18</v>
      </c>
      <c r="D18" s="192" t="s">
        <v>33</v>
      </c>
      <c r="E18" s="204">
        <f t="shared" si="0"/>
        <v>4</v>
      </c>
      <c r="F18" s="163">
        <v>3</v>
      </c>
      <c r="G18" s="137"/>
      <c r="H18" s="141">
        <v>3</v>
      </c>
      <c r="I18" s="77"/>
      <c r="J18" s="76"/>
      <c r="K18" s="77"/>
      <c r="L18" s="76"/>
      <c r="M18" s="191"/>
      <c r="N18" s="295"/>
      <c r="O18" s="352"/>
      <c r="P18" s="349"/>
    </row>
    <row r="19" spans="1:20" ht="15.65" customHeight="1">
      <c r="A19" s="388"/>
      <c r="B19" s="352"/>
      <c r="C19" s="157" t="s">
        <v>21</v>
      </c>
      <c r="D19" s="192" t="s">
        <v>34</v>
      </c>
      <c r="E19" s="204">
        <f t="shared" si="0"/>
        <v>4</v>
      </c>
      <c r="F19" s="163">
        <v>4</v>
      </c>
      <c r="G19" s="137"/>
      <c r="H19" s="141"/>
      <c r="I19" s="77">
        <v>4</v>
      </c>
      <c r="J19" s="76"/>
      <c r="K19" s="77"/>
      <c r="L19" s="76"/>
      <c r="M19" s="191"/>
      <c r="N19" s="295"/>
      <c r="O19" s="352"/>
      <c r="P19" s="349"/>
    </row>
    <row r="20" spans="1:20" ht="15.65" customHeight="1" thickBot="1">
      <c r="A20" s="388"/>
      <c r="B20" s="373"/>
      <c r="C20" s="260" t="s">
        <v>21</v>
      </c>
      <c r="D20" s="235" t="s">
        <v>35</v>
      </c>
      <c r="E20" s="253">
        <f t="shared" si="0"/>
        <v>4</v>
      </c>
      <c r="F20" s="254">
        <v>4</v>
      </c>
      <c r="G20" s="255"/>
      <c r="H20" s="256"/>
      <c r="I20" s="257"/>
      <c r="J20" s="258">
        <v>4</v>
      </c>
      <c r="K20" s="257"/>
      <c r="L20" s="258"/>
      <c r="M20" s="198"/>
      <c r="N20" s="296"/>
      <c r="O20" s="373"/>
      <c r="P20" s="350"/>
    </row>
    <row r="21" spans="1:20" ht="15.65" customHeight="1">
      <c r="A21" s="388"/>
      <c r="B21" s="392" t="s">
        <v>36</v>
      </c>
      <c r="C21" s="276" t="s">
        <v>18</v>
      </c>
      <c r="D21" s="190" t="s">
        <v>37</v>
      </c>
      <c r="E21" s="217">
        <f t="shared" si="0"/>
        <v>3</v>
      </c>
      <c r="F21" s="222">
        <v>3</v>
      </c>
      <c r="G21" s="211">
        <v>3</v>
      </c>
      <c r="H21" s="212"/>
      <c r="I21" s="74"/>
      <c r="J21" s="73"/>
      <c r="K21" s="74"/>
      <c r="L21" s="273"/>
      <c r="M21" s="274"/>
      <c r="N21" s="294"/>
      <c r="O21" s="401">
        <f>SUM(F21:F22)</f>
        <v>6</v>
      </c>
      <c r="P21" s="366">
        <v>6</v>
      </c>
    </row>
    <row r="22" spans="1:20" ht="15.65" customHeight="1">
      <c r="A22" s="388"/>
      <c r="B22" s="352"/>
      <c r="C22" s="115" t="s">
        <v>18</v>
      </c>
      <c r="D22" s="196" t="s">
        <v>38</v>
      </c>
      <c r="E22" s="183">
        <f t="shared" si="0"/>
        <v>3</v>
      </c>
      <c r="F22" s="160">
        <v>3</v>
      </c>
      <c r="G22" s="138"/>
      <c r="H22" s="143">
        <v>3</v>
      </c>
      <c r="I22" s="84"/>
      <c r="J22" s="83"/>
      <c r="K22" s="84"/>
      <c r="L22" s="83"/>
      <c r="M22" s="196"/>
      <c r="N22" s="297"/>
      <c r="O22" s="356"/>
      <c r="P22" s="367"/>
    </row>
    <row r="23" spans="1:20" ht="15.65" customHeight="1">
      <c r="A23" s="388"/>
      <c r="B23" s="352"/>
      <c r="C23" s="79" t="s">
        <v>18</v>
      </c>
      <c r="D23" s="194" t="s">
        <v>39</v>
      </c>
      <c r="E23" s="216">
        <f t="shared" si="0"/>
        <v>4</v>
      </c>
      <c r="F23" s="161">
        <v>4</v>
      </c>
      <c r="G23" s="136">
        <v>4</v>
      </c>
      <c r="H23" s="142"/>
      <c r="I23" s="81"/>
      <c r="J23" s="80"/>
      <c r="K23" s="81"/>
      <c r="L23" s="82"/>
      <c r="M23" s="195"/>
      <c r="N23" s="298"/>
      <c r="O23" s="395">
        <f>SUM(F23:F24)</f>
        <v>8</v>
      </c>
      <c r="P23" s="369">
        <v>8</v>
      </c>
    </row>
    <row r="24" spans="1:20" ht="15.65" customHeight="1" thickBot="1">
      <c r="A24" s="388"/>
      <c r="B24" s="373"/>
      <c r="C24" s="260" t="s">
        <v>18</v>
      </c>
      <c r="D24" s="235" t="s">
        <v>40</v>
      </c>
      <c r="E24" s="253">
        <f t="shared" si="0"/>
        <v>4</v>
      </c>
      <c r="F24" s="254">
        <v>4</v>
      </c>
      <c r="G24" s="255"/>
      <c r="H24" s="256">
        <v>4</v>
      </c>
      <c r="I24" s="257"/>
      <c r="J24" s="258"/>
      <c r="K24" s="257"/>
      <c r="L24" s="259"/>
      <c r="M24" s="198"/>
      <c r="N24" s="252"/>
      <c r="O24" s="373"/>
      <c r="P24" s="350"/>
    </row>
    <row r="25" spans="1:20" ht="15.65" customHeight="1">
      <c r="A25" s="388"/>
      <c r="B25" s="392" t="s">
        <v>41</v>
      </c>
      <c r="C25" s="175" t="s">
        <v>18</v>
      </c>
      <c r="D25" s="190" t="s">
        <v>42</v>
      </c>
      <c r="E25" s="217">
        <f t="shared" si="0"/>
        <v>4</v>
      </c>
      <c r="F25" s="222">
        <v>4</v>
      </c>
      <c r="G25" s="211">
        <v>4</v>
      </c>
      <c r="H25" s="212"/>
      <c r="I25" s="74"/>
      <c r="J25" s="73"/>
      <c r="K25" s="277"/>
      <c r="L25" s="278"/>
      <c r="M25" s="274"/>
      <c r="N25" s="113"/>
      <c r="O25" s="379">
        <f>SUM(F25:F28)</f>
        <v>10</v>
      </c>
      <c r="P25" s="374">
        <v>10</v>
      </c>
    </row>
    <row r="26" spans="1:20" ht="15.65" customHeight="1">
      <c r="A26" s="388"/>
      <c r="B26" s="352"/>
      <c r="C26" s="114" t="s">
        <v>18</v>
      </c>
      <c r="D26" s="192" t="s">
        <v>43</v>
      </c>
      <c r="E26" s="204">
        <f t="shared" si="0"/>
        <v>4</v>
      </c>
      <c r="F26" s="163">
        <v>4</v>
      </c>
      <c r="G26" s="137"/>
      <c r="H26" s="141">
        <v>4</v>
      </c>
      <c r="I26" s="77"/>
      <c r="J26" s="76"/>
      <c r="K26" s="89"/>
      <c r="L26" s="90"/>
      <c r="M26" s="191"/>
      <c r="N26" s="295"/>
      <c r="O26" s="352"/>
      <c r="P26" s="349"/>
    </row>
    <row r="27" spans="1:20" ht="15.65" customHeight="1">
      <c r="A27" s="388"/>
      <c r="B27" s="352"/>
      <c r="C27" s="157" t="s">
        <v>18</v>
      </c>
      <c r="D27" s="192" t="s">
        <v>44</v>
      </c>
      <c r="E27" s="204">
        <f t="shared" si="0"/>
        <v>1</v>
      </c>
      <c r="F27" s="163">
        <v>1</v>
      </c>
      <c r="G27" s="137">
        <v>1</v>
      </c>
      <c r="H27" s="141"/>
      <c r="I27" s="77"/>
      <c r="J27" s="76"/>
      <c r="K27" s="89"/>
      <c r="L27" s="90"/>
      <c r="M27" s="191"/>
      <c r="N27" s="295"/>
      <c r="O27" s="352"/>
      <c r="P27" s="349"/>
    </row>
    <row r="28" spans="1:20" ht="15.65" customHeight="1" thickBot="1">
      <c r="A28" s="388"/>
      <c r="B28" s="373"/>
      <c r="C28" s="260" t="s">
        <v>18</v>
      </c>
      <c r="D28" s="235" t="s">
        <v>45</v>
      </c>
      <c r="E28" s="253">
        <f t="shared" si="0"/>
        <v>1</v>
      </c>
      <c r="F28" s="254">
        <v>1</v>
      </c>
      <c r="G28" s="255"/>
      <c r="H28" s="256">
        <v>1</v>
      </c>
      <c r="I28" s="257"/>
      <c r="J28" s="258"/>
      <c r="K28" s="262"/>
      <c r="L28" s="263"/>
      <c r="M28" s="198"/>
      <c r="N28" s="296"/>
      <c r="O28" s="373"/>
      <c r="P28" s="350"/>
    </row>
    <row r="29" spans="1:20" ht="15.65" customHeight="1">
      <c r="A29" s="388"/>
      <c r="B29" s="392" t="s">
        <v>50</v>
      </c>
      <c r="C29" s="175" t="s">
        <v>21</v>
      </c>
      <c r="D29" s="190" t="s">
        <v>51</v>
      </c>
      <c r="E29" s="217">
        <f t="shared" si="0"/>
        <v>3</v>
      </c>
      <c r="F29" s="164">
        <v>2</v>
      </c>
      <c r="G29" s="275">
        <v>2</v>
      </c>
      <c r="H29" s="212"/>
      <c r="I29" s="74"/>
      <c r="J29" s="73"/>
      <c r="K29" s="74"/>
      <c r="L29" s="273"/>
      <c r="M29" s="274"/>
      <c r="N29" s="113"/>
      <c r="O29" s="379">
        <f>SUM(F29:F34)</f>
        <v>10</v>
      </c>
      <c r="P29" s="374">
        <v>10</v>
      </c>
      <c r="R29" s="6"/>
      <c r="S29" s="6"/>
      <c r="T29" s="6"/>
    </row>
    <row r="30" spans="1:20" ht="15.65" customHeight="1">
      <c r="A30" s="388"/>
      <c r="B30" s="352"/>
      <c r="C30" s="157" t="s">
        <v>21</v>
      </c>
      <c r="D30" s="192" t="s">
        <v>52</v>
      </c>
      <c r="E30" s="204">
        <f t="shared" si="0"/>
        <v>3</v>
      </c>
      <c r="F30" s="163">
        <v>2</v>
      </c>
      <c r="G30" s="122"/>
      <c r="H30" s="141">
        <v>2</v>
      </c>
      <c r="I30" s="77"/>
      <c r="J30" s="76"/>
      <c r="K30" s="77"/>
      <c r="L30" s="78"/>
      <c r="M30" s="191"/>
      <c r="N30" s="295"/>
      <c r="O30" s="352"/>
      <c r="P30" s="349"/>
      <c r="R30" s="6"/>
      <c r="S30" s="6"/>
      <c r="T30" s="6"/>
    </row>
    <row r="31" spans="1:20" ht="15.65" customHeight="1">
      <c r="A31" s="388"/>
      <c r="B31" s="352"/>
      <c r="C31" s="157" t="s">
        <v>53</v>
      </c>
      <c r="D31" s="192" t="s">
        <v>54</v>
      </c>
      <c r="E31" s="204">
        <f t="shared" si="0"/>
        <v>3</v>
      </c>
      <c r="F31" s="163">
        <v>2</v>
      </c>
      <c r="G31" s="122"/>
      <c r="H31" s="141"/>
      <c r="I31" s="77">
        <v>2</v>
      </c>
      <c r="J31" s="76"/>
      <c r="K31" s="77"/>
      <c r="L31" s="78"/>
      <c r="M31" s="191"/>
      <c r="N31" s="295"/>
      <c r="O31" s="352"/>
      <c r="P31" s="349"/>
      <c r="R31" s="6"/>
      <c r="S31" s="6"/>
      <c r="T31" s="6"/>
    </row>
    <row r="32" spans="1:20" ht="15.65" customHeight="1">
      <c r="A32" s="388"/>
      <c r="B32" s="352"/>
      <c r="C32" s="157" t="s">
        <v>53</v>
      </c>
      <c r="D32" s="192" t="s">
        <v>55</v>
      </c>
      <c r="E32" s="204">
        <f t="shared" si="0"/>
        <v>3</v>
      </c>
      <c r="F32" s="163">
        <v>2</v>
      </c>
      <c r="G32" s="122"/>
      <c r="H32" s="141"/>
      <c r="I32" s="77"/>
      <c r="J32" s="76">
        <v>2</v>
      </c>
      <c r="K32" s="77"/>
      <c r="L32" s="78"/>
      <c r="M32" s="191"/>
      <c r="N32" s="295"/>
      <c r="O32" s="352"/>
      <c r="P32" s="349"/>
      <c r="R32" s="6"/>
      <c r="S32" s="6"/>
      <c r="T32" s="6"/>
    </row>
    <row r="33" spans="1:20" ht="15.65" customHeight="1">
      <c r="A33" s="388"/>
      <c r="B33" s="352"/>
      <c r="C33" s="157" t="s">
        <v>56</v>
      </c>
      <c r="D33" s="192" t="s">
        <v>57</v>
      </c>
      <c r="E33" s="204">
        <f t="shared" si="0"/>
        <v>2</v>
      </c>
      <c r="F33" s="163">
        <v>1</v>
      </c>
      <c r="G33" s="122"/>
      <c r="H33" s="141"/>
      <c r="I33" s="77"/>
      <c r="J33" s="76"/>
      <c r="K33" s="77">
        <v>1</v>
      </c>
      <c r="L33" s="78"/>
      <c r="M33" s="191"/>
      <c r="N33" s="295"/>
      <c r="O33" s="352"/>
      <c r="P33" s="349"/>
      <c r="R33" s="6"/>
      <c r="S33" s="6"/>
      <c r="T33" s="6"/>
    </row>
    <row r="34" spans="1:20" ht="15.65" customHeight="1" thickBot="1">
      <c r="A34" s="388"/>
      <c r="B34" s="373"/>
      <c r="C34" s="260" t="s">
        <v>56</v>
      </c>
      <c r="D34" s="235" t="s">
        <v>58</v>
      </c>
      <c r="E34" s="253">
        <f t="shared" si="0"/>
        <v>2</v>
      </c>
      <c r="F34" s="254">
        <v>1</v>
      </c>
      <c r="G34" s="255"/>
      <c r="H34" s="256"/>
      <c r="I34" s="257"/>
      <c r="J34" s="258"/>
      <c r="K34" s="257"/>
      <c r="L34" s="259">
        <v>1</v>
      </c>
      <c r="M34" s="198"/>
      <c r="N34" s="296"/>
      <c r="O34" s="373"/>
      <c r="P34" s="350"/>
      <c r="R34" s="6"/>
      <c r="S34" s="6"/>
      <c r="T34" s="6"/>
    </row>
    <row r="35" spans="1:20" ht="15.65" customHeight="1">
      <c r="A35" s="388"/>
      <c r="B35" s="392" t="s">
        <v>59</v>
      </c>
      <c r="C35" s="175" t="s">
        <v>21</v>
      </c>
      <c r="D35" s="190" t="s">
        <v>60</v>
      </c>
      <c r="E35" s="217">
        <f t="shared" si="0"/>
        <v>3</v>
      </c>
      <c r="F35" s="222">
        <v>3</v>
      </c>
      <c r="G35" s="275">
        <v>3</v>
      </c>
      <c r="H35" s="212" t="s">
        <v>61</v>
      </c>
      <c r="I35" s="74"/>
      <c r="J35" s="73"/>
      <c r="K35" s="74"/>
      <c r="L35" s="273"/>
      <c r="M35" s="274"/>
      <c r="N35" s="113"/>
      <c r="O35" s="379">
        <f>SUM(F35:F36)</f>
        <v>6</v>
      </c>
      <c r="P35" s="374">
        <v>10</v>
      </c>
      <c r="R35" s="6"/>
      <c r="S35" s="6"/>
      <c r="T35" s="6"/>
    </row>
    <row r="36" spans="1:20" ht="15.65" customHeight="1" thickBot="1">
      <c r="A36" s="388"/>
      <c r="B36" s="373"/>
      <c r="C36" s="260" t="s">
        <v>21</v>
      </c>
      <c r="D36" s="265" t="s">
        <v>62</v>
      </c>
      <c r="E36" s="320">
        <f t="shared" si="0"/>
        <v>3</v>
      </c>
      <c r="F36" s="254">
        <v>3</v>
      </c>
      <c r="G36" s="261" t="s">
        <v>61</v>
      </c>
      <c r="H36" s="256">
        <v>3</v>
      </c>
      <c r="I36" s="257"/>
      <c r="J36" s="258"/>
      <c r="K36" s="257"/>
      <c r="L36" s="258"/>
      <c r="M36" s="198"/>
      <c r="N36" s="321"/>
      <c r="O36" s="373"/>
      <c r="P36" s="350"/>
      <c r="R36" s="6"/>
      <c r="S36" s="6"/>
      <c r="T36" s="6"/>
    </row>
    <row r="37" spans="1:20" ht="15.65" customHeight="1">
      <c r="A37" s="388"/>
      <c r="B37" s="372" t="s">
        <v>63</v>
      </c>
      <c r="C37" s="231" t="s">
        <v>21</v>
      </c>
      <c r="D37" s="232" t="s">
        <v>64</v>
      </c>
      <c r="E37" s="246">
        <f t="shared" si="0"/>
        <v>4</v>
      </c>
      <c r="F37" s="119">
        <v>3</v>
      </c>
      <c r="G37" s="233">
        <v>3</v>
      </c>
      <c r="H37" s="144"/>
      <c r="I37" s="85"/>
      <c r="J37" s="86"/>
      <c r="K37" s="85"/>
      <c r="L37" s="75"/>
      <c r="M37" s="189"/>
      <c r="N37" s="322"/>
      <c r="O37" s="418">
        <v>6</v>
      </c>
      <c r="P37" s="417">
        <v>16</v>
      </c>
      <c r="R37" s="6"/>
      <c r="S37" s="6"/>
      <c r="T37" s="6"/>
    </row>
    <row r="38" spans="1:20" ht="15.65" customHeight="1" thickBot="1">
      <c r="A38" s="388"/>
      <c r="B38" s="373"/>
      <c r="C38" s="264" t="s">
        <v>56</v>
      </c>
      <c r="D38" s="265" t="s">
        <v>131</v>
      </c>
      <c r="E38" s="253">
        <f t="shared" si="0"/>
        <v>4</v>
      </c>
      <c r="F38" s="266">
        <v>3</v>
      </c>
      <c r="G38" s="267"/>
      <c r="H38" s="268">
        <v>3</v>
      </c>
      <c r="I38" s="269"/>
      <c r="J38" s="270"/>
      <c r="K38" s="269"/>
      <c r="L38" s="271"/>
      <c r="M38" s="272"/>
      <c r="N38" s="321"/>
      <c r="O38" s="373"/>
      <c r="P38" s="349"/>
      <c r="R38" s="6"/>
      <c r="S38" s="6"/>
      <c r="T38" s="6"/>
    </row>
    <row r="39" spans="1:20" ht="15.65" customHeight="1">
      <c r="A39" s="388"/>
      <c r="B39" s="351" t="s">
        <v>65</v>
      </c>
      <c r="C39" s="175" t="s">
        <v>21</v>
      </c>
      <c r="D39" s="190" t="s">
        <v>66</v>
      </c>
      <c r="E39" s="217">
        <f t="shared" ref="E39:E70" si="1">IFERROR(VLOOKUP(D39, 기본학점, 2, FALSE), "")</f>
        <v>3</v>
      </c>
      <c r="F39" s="222">
        <v>2</v>
      </c>
      <c r="G39" s="275"/>
      <c r="H39" s="212"/>
      <c r="I39" s="74"/>
      <c r="J39" s="73"/>
      <c r="K39" s="74"/>
      <c r="L39" s="273">
        <v>2</v>
      </c>
      <c r="M39" s="274"/>
      <c r="N39" s="113"/>
      <c r="O39" s="351">
        <f>SUM(F39:F40)</f>
        <v>4</v>
      </c>
      <c r="P39" s="349"/>
      <c r="R39" s="6"/>
      <c r="S39" s="6"/>
      <c r="T39" s="6"/>
    </row>
    <row r="40" spans="1:20" ht="15.65" customHeight="1" thickBot="1">
      <c r="A40" s="388"/>
      <c r="B40" s="352"/>
      <c r="C40" s="244" t="s">
        <v>53</v>
      </c>
      <c r="D40" s="202" t="s">
        <v>67</v>
      </c>
      <c r="E40" s="183">
        <f t="shared" si="1"/>
        <v>3</v>
      </c>
      <c r="F40" s="119">
        <v>2</v>
      </c>
      <c r="G40" s="290"/>
      <c r="H40" s="291"/>
      <c r="I40" s="292"/>
      <c r="J40" s="293"/>
      <c r="K40" s="292"/>
      <c r="L40" s="240">
        <v>2</v>
      </c>
      <c r="M40" s="227"/>
      <c r="N40" s="300"/>
      <c r="O40" s="352"/>
      <c r="P40" s="350"/>
      <c r="R40" s="6"/>
      <c r="S40" s="6"/>
      <c r="T40" s="6"/>
    </row>
    <row r="41" spans="1:20" ht="15.65" customHeight="1">
      <c r="A41" s="414" t="s">
        <v>132</v>
      </c>
      <c r="B41" s="241" t="s">
        <v>17</v>
      </c>
      <c r="C41" s="37" t="s">
        <v>53</v>
      </c>
      <c r="D41" s="190" t="s">
        <v>133</v>
      </c>
      <c r="E41" s="217">
        <f t="shared" si="1"/>
        <v>4</v>
      </c>
      <c r="F41" s="164">
        <v>3</v>
      </c>
      <c r="G41" s="218"/>
      <c r="H41" s="149"/>
      <c r="I41" s="380" t="s">
        <v>73</v>
      </c>
      <c r="J41" s="219"/>
      <c r="K41" s="9"/>
      <c r="L41" s="38"/>
      <c r="M41" s="201"/>
      <c r="N41" s="113"/>
      <c r="O41" s="392">
        <v>30</v>
      </c>
      <c r="P41" s="399"/>
      <c r="R41" s="6"/>
      <c r="S41" s="6"/>
      <c r="T41" s="6"/>
    </row>
    <row r="42" spans="1:20" ht="15.65" customHeight="1">
      <c r="A42" s="388"/>
      <c r="B42" s="355" t="s">
        <v>36</v>
      </c>
      <c r="C42" s="19" t="s">
        <v>56</v>
      </c>
      <c r="D42" s="194" t="s">
        <v>134</v>
      </c>
      <c r="E42" s="216">
        <f t="shared" si="1"/>
        <v>4</v>
      </c>
      <c r="F42" s="120">
        <v>3</v>
      </c>
      <c r="G42" s="124"/>
      <c r="H42" s="151"/>
      <c r="I42" s="376"/>
      <c r="J42" s="220"/>
      <c r="K42" s="41"/>
      <c r="L42" s="42"/>
      <c r="M42" s="200"/>
      <c r="N42" s="301"/>
      <c r="O42" s="352"/>
      <c r="P42" s="349"/>
    </row>
    <row r="43" spans="1:20" ht="15.65" customHeight="1">
      <c r="A43" s="388"/>
      <c r="B43" s="352"/>
      <c r="C43" s="10" t="s">
        <v>21</v>
      </c>
      <c r="D43" s="192" t="s">
        <v>135</v>
      </c>
      <c r="E43" s="204">
        <f t="shared" si="1"/>
        <v>4</v>
      </c>
      <c r="F43" s="122">
        <v>3</v>
      </c>
      <c r="G43" s="55"/>
      <c r="H43" s="152"/>
      <c r="I43" s="376"/>
      <c r="J43" s="221"/>
      <c r="K43" s="45"/>
      <c r="L43" s="46"/>
      <c r="M43" s="199"/>
      <c r="N43" s="295"/>
      <c r="O43" s="352"/>
      <c r="P43" s="349"/>
    </row>
    <row r="44" spans="1:20" ht="15.65" customHeight="1">
      <c r="A44" s="388"/>
      <c r="B44" s="352"/>
      <c r="C44" s="10" t="s">
        <v>21</v>
      </c>
      <c r="D44" s="192" t="s">
        <v>136</v>
      </c>
      <c r="E44" s="204">
        <f t="shared" si="1"/>
        <v>4</v>
      </c>
      <c r="F44" s="122">
        <v>3</v>
      </c>
      <c r="G44" s="55"/>
      <c r="H44" s="152"/>
      <c r="I44" s="376"/>
      <c r="J44" s="221"/>
      <c r="K44" s="45"/>
      <c r="L44" s="46"/>
      <c r="M44" s="199"/>
      <c r="N44" s="295"/>
      <c r="O44" s="352"/>
      <c r="P44" s="349"/>
    </row>
    <row r="45" spans="1:20" ht="15.65" customHeight="1">
      <c r="A45" s="388"/>
      <c r="B45" s="352"/>
      <c r="C45" s="10" t="s">
        <v>56</v>
      </c>
      <c r="D45" s="192" t="s">
        <v>137</v>
      </c>
      <c r="E45" s="204">
        <f t="shared" si="1"/>
        <v>4</v>
      </c>
      <c r="F45" s="122">
        <v>3</v>
      </c>
      <c r="G45" s="55"/>
      <c r="H45" s="152"/>
      <c r="I45" s="376"/>
      <c r="J45" s="221"/>
      <c r="K45" s="45"/>
      <c r="L45" s="46"/>
      <c r="M45" s="199"/>
      <c r="N45" s="295"/>
      <c r="O45" s="352"/>
      <c r="P45" s="349"/>
    </row>
    <row r="46" spans="1:20" ht="15.65" customHeight="1">
      <c r="A46" s="388"/>
      <c r="B46" s="356"/>
      <c r="C46" s="20" t="s">
        <v>56</v>
      </c>
      <c r="D46" s="196" t="s">
        <v>138</v>
      </c>
      <c r="E46" s="159">
        <f t="shared" si="1"/>
        <v>4</v>
      </c>
      <c r="F46" s="159">
        <v>3</v>
      </c>
      <c r="G46" s="125"/>
      <c r="H46" s="153"/>
      <c r="I46" s="376"/>
      <c r="J46" s="47"/>
      <c r="K46" s="48"/>
      <c r="L46" s="49"/>
      <c r="M46" s="193"/>
      <c r="N46" s="315"/>
      <c r="O46" s="352"/>
      <c r="P46" s="349"/>
    </row>
    <row r="47" spans="1:20" ht="15.65" customHeight="1">
      <c r="A47" s="388"/>
      <c r="B47" s="355" t="s">
        <v>41</v>
      </c>
      <c r="C47" s="19" t="s">
        <v>21</v>
      </c>
      <c r="D47" s="194" t="s">
        <v>46</v>
      </c>
      <c r="E47" s="216">
        <f t="shared" si="1"/>
        <v>4</v>
      </c>
      <c r="F47" s="120">
        <v>3</v>
      </c>
      <c r="G47" s="124"/>
      <c r="H47" s="151"/>
      <c r="I47" s="376"/>
      <c r="J47" s="66"/>
      <c r="K47" s="15"/>
      <c r="L47" s="39"/>
      <c r="M47" s="200"/>
      <c r="N47" s="301"/>
      <c r="O47" s="352"/>
      <c r="P47" s="349"/>
    </row>
    <row r="48" spans="1:20" ht="15.65" customHeight="1">
      <c r="A48" s="388"/>
      <c r="B48" s="352"/>
      <c r="C48" s="10" t="s">
        <v>21</v>
      </c>
      <c r="D48" s="192" t="s">
        <v>47</v>
      </c>
      <c r="E48" s="204">
        <f t="shared" si="1"/>
        <v>4</v>
      </c>
      <c r="F48" s="122">
        <v>3</v>
      </c>
      <c r="G48" s="55"/>
      <c r="H48" s="152"/>
      <c r="I48" s="376"/>
      <c r="J48" s="63"/>
      <c r="K48" s="11"/>
      <c r="L48" s="43"/>
      <c r="M48" s="199"/>
      <c r="N48" s="295"/>
      <c r="O48" s="352"/>
      <c r="P48" s="349"/>
    </row>
    <row r="49" spans="1:16" ht="15.65" customHeight="1">
      <c r="A49" s="388"/>
      <c r="B49" s="352"/>
      <c r="C49" s="10" t="s">
        <v>21</v>
      </c>
      <c r="D49" s="192" t="s">
        <v>48</v>
      </c>
      <c r="E49" s="204">
        <f t="shared" si="1"/>
        <v>4</v>
      </c>
      <c r="F49" s="122">
        <v>3</v>
      </c>
      <c r="G49" s="55"/>
      <c r="H49" s="152"/>
      <c r="I49" s="376"/>
      <c r="J49" s="63"/>
      <c r="K49" s="11"/>
      <c r="L49" s="43"/>
      <c r="M49" s="199"/>
      <c r="N49" s="295"/>
      <c r="O49" s="352"/>
      <c r="P49" s="349"/>
    </row>
    <row r="50" spans="1:16" ht="15.65" customHeight="1">
      <c r="A50" s="388"/>
      <c r="B50" s="356"/>
      <c r="C50" s="20" t="s">
        <v>21</v>
      </c>
      <c r="D50" s="196" t="s">
        <v>49</v>
      </c>
      <c r="E50" s="159">
        <f t="shared" si="1"/>
        <v>4</v>
      </c>
      <c r="F50" s="159">
        <v>3</v>
      </c>
      <c r="G50" s="56"/>
      <c r="H50" s="153"/>
      <c r="I50" s="376"/>
      <c r="J50" s="230"/>
      <c r="K50" s="23"/>
      <c r="L50" s="308"/>
      <c r="M50" s="310"/>
      <c r="N50" s="315"/>
      <c r="O50" s="352"/>
      <c r="P50" s="349"/>
    </row>
    <row r="51" spans="1:16" ht="15.65" customHeight="1">
      <c r="A51" s="388"/>
      <c r="B51" s="368" t="s">
        <v>59</v>
      </c>
      <c r="C51" s="304" t="s">
        <v>53</v>
      </c>
      <c r="D51" s="202" t="s">
        <v>139</v>
      </c>
      <c r="E51" s="340">
        <f t="shared" si="1"/>
        <v>3</v>
      </c>
      <c r="F51" s="119">
        <v>3</v>
      </c>
      <c r="G51" s="336"/>
      <c r="H51" s="334"/>
      <c r="I51" s="376"/>
      <c r="J51" s="306"/>
      <c r="K51" s="180"/>
      <c r="L51" s="335"/>
      <c r="M51" s="245"/>
      <c r="N51" s="316"/>
      <c r="O51" s="352"/>
      <c r="P51" s="349"/>
    </row>
    <row r="52" spans="1:16" ht="15.65" customHeight="1">
      <c r="A52" s="388"/>
      <c r="B52" s="352"/>
      <c r="C52" s="29" t="s">
        <v>53</v>
      </c>
      <c r="D52" s="196" t="s">
        <v>140</v>
      </c>
      <c r="E52" s="159">
        <f t="shared" si="1"/>
        <v>3</v>
      </c>
      <c r="F52" s="159">
        <v>3</v>
      </c>
      <c r="G52" s="133"/>
      <c r="H52" s="153"/>
      <c r="I52" s="376"/>
      <c r="J52" s="230"/>
      <c r="K52" s="28"/>
      <c r="L52" s="308"/>
      <c r="M52" s="237"/>
      <c r="N52" s="315"/>
      <c r="O52" s="352"/>
      <c r="P52" s="349"/>
    </row>
    <row r="53" spans="1:16" ht="15.65" customHeight="1">
      <c r="A53" s="388"/>
      <c r="B53" s="378" t="s">
        <v>68</v>
      </c>
      <c r="C53" s="19" t="s">
        <v>21</v>
      </c>
      <c r="D53" s="194" t="s">
        <v>69</v>
      </c>
      <c r="E53" s="158">
        <f t="shared" si="1"/>
        <v>4</v>
      </c>
      <c r="F53" s="249">
        <v>3</v>
      </c>
      <c r="G53" s="41"/>
      <c r="H53" s="145"/>
      <c r="I53" s="376"/>
      <c r="J53" s="311"/>
      <c r="K53" s="17"/>
      <c r="L53" s="26"/>
      <c r="M53" s="200"/>
      <c r="N53" s="299"/>
      <c r="O53" s="352"/>
      <c r="P53" s="349"/>
    </row>
    <row r="54" spans="1:16" ht="15.65" customHeight="1" thickBot="1">
      <c r="A54" s="388"/>
      <c r="B54" s="373"/>
      <c r="C54" s="51" t="s">
        <v>21</v>
      </c>
      <c r="D54" s="235" t="s">
        <v>71</v>
      </c>
      <c r="E54" s="132">
        <f t="shared" si="1"/>
        <v>4</v>
      </c>
      <c r="F54" s="132">
        <v>3</v>
      </c>
      <c r="G54" s="279"/>
      <c r="H54" s="280"/>
      <c r="I54" s="377"/>
      <c r="J54" s="229"/>
      <c r="K54" s="281"/>
      <c r="L54" s="282"/>
      <c r="M54" s="198"/>
      <c r="N54" s="296"/>
      <c r="O54" s="352"/>
      <c r="P54" s="349"/>
    </row>
    <row r="55" spans="1:16" ht="15.65" customHeight="1">
      <c r="A55" s="388"/>
      <c r="B55" s="241" t="s">
        <v>25</v>
      </c>
      <c r="C55" s="37" t="s">
        <v>56</v>
      </c>
      <c r="D55" s="190" t="s">
        <v>72</v>
      </c>
      <c r="E55" s="217">
        <f t="shared" si="1"/>
        <v>4</v>
      </c>
      <c r="F55" s="222">
        <v>3</v>
      </c>
      <c r="G55" s="126"/>
      <c r="H55" s="149"/>
      <c r="I55" s="9"/>
      <c r="J55" s="380" t="s">
        <v>73</v>
      </c>
      <c r="K55" s="9"/>
      <c r="L55" s="38"/>
      <c r="M55" s="201"/>
      <c r="N55" s="113"/>
      <c r="O55" s="352"/>
      <c r="P55" s="349"/>
    </row>
    <row r="56" spans="1:16" ht="15.65" customHeight="1">
      <c r="A56" s="388"/>
      <c r="B56" s="238" t="s">
        <v>31</v>
      </c>
      <c r="C56" s="19" t="s">
        <v>53</v>
      </c>
      <c r="D56" s="194" t="s">
        <v>74</v>
      </c>
      <c r="E56" s="216">
        <f t="shared" si="1"/>
        <v>4</v>
      </c>
      <c r="F56" s="161">
        <v>3</v>
      </c>
      <c r="G56" s="124"/>
      <c r="H56" s="145"/>
      <c r="I56" s="17"/>
      <c r="J56" s="376"/>
      <c r="K56" s="17"/>
      <c r="L56" s="18"/>
      <c r="M56" s="200"/>
      <c r="N56" s="301"/>
      <c r="O56" s="352"/>
      <c r="P56" s="349"/>
    </row>
    <row r="57" spans="1:16" ht="15.65" customHeight="1">
      <c r="A57" s="388"/>
      <c r="B57" s="368" t="s">
        <v>36</v>
      </c>
      <c r="C57" s="19" t="s">
        <v>21</v>
      </c>
      <c r="D57" s="194" t="s">
        <v>75</v>
      </c>
      <c r="E57" s="216">
        <f t="shared" si="1"/>
        <v>4</v>
      </c>
      <c r="F57" s="161">
        <v>3</v>
      </c>
      <c r="G57" s="124"/>
      <c r="H57" s="151"/>
      <c r="I57" s="41"/>
      <c r="J57" s="376"/>
      <c r="K57" s="41"/>
      <c r="L57" s="42"/>
      <c r="M57" s="200"/>
      <c r="N57" s="298"/>
      <c r="O57" s="352"/>
      <c r="P57" s="349"/>
    </row>
    <row r="58" spans="1:16" ht="15.65" customHeight="1">
      <c r="A58" s="388"/>
      <c r="B58" s="352"/>
      <c r="C58" s="10" t="s">
        <v>21</v>
      </c>
      <c r="D58" s="192" t="s">
        <v>76</v>
      </c>
      <c r="E58" s="204">
        <f t="shared" si="1"/>
        <v>4</v>
      </c>
      <c r="F58" s="163">
        <v>3</v>
      </c>
      <c r="G58" s="55"/>
      <c r="H58" s="152"/>
      <c r="I58" s="45"/>
      <c r="J58" s="376"/>
      <c r="K58" s="45"/>
      <c r="L58" s="46"/>
      <c r="M58" s="199"/>
      <c r="N58" s="295"/>
      <c r="O58" s="352"/>
      <c r="P58" s="349"/>
    </row>
    <row r="59" spans="1:16" ht="15.65" customHeight="1">
      <c r="A59" s="388"/>
      <c r="B59" s="352"/>
      <c r="C59" s="10" t="s">
        <v>56</v>
      </c>
      <c r="D59" s="192" t="s">
        <v>77</v>
      </c>
      <c r="E59" s="183">
        <f t="shared" si="1"/>
        <v>4</v>
      </c>
      <c r="F59" s="119">
        <v>3</v>
      </c>
      <c r="G59" s="55"/>
      <c r="H59" s="152"/>
      <c r="I59" s="45"/>
      <c r="J59" s="376"/>
      <c r="K59" s="45"/>
      <c r="L59" s="46"/>
      <c r="M59" s="199"/>
      <c r="N59" s="295"/>
      <c r="O59" s="352"/>
      <c r="P59" s="349"/>
    </row>
    <row r="60" spans="1:16" ht="15.65" customHeight="1">
      <c r="A60" s="388"/>
      <c r="B60" s="352"/>
      <c r="C60" s="10" t="s">
        <v>56</v>
      </c>
      <c r="D60" s="192" t="s">
        <v>78</v>
      </c>
      <c r="E60" s="204">
        <f t="shared" si="1"/>
        <v>4</v>
      </c>
      <c r="F60" s="163">
        <v>3</v>
      </c>
      <c r="G60" s="55"/>
      <c r="H60" s="152"/>
      <c r="I60" s="45"/>
      <c r="J60" s="376"/>
      <c r="K60" s="45"/>
      <c r="L60" s="46"/>
      <c r="M60" s="199"/>
      <c r="N60" s="295"/>
      <c r="O60" s="352"/>
      <c r="P60" s="349"/>
    </row>
    <row r="61" spans="1:16" ht="15.65" customHeight="1">
      <c r="A61" s="388"/>
      <c r="B61" s="352"/>
      <c r="C61" s="10" t="s">
        <v>53</v>
      </c>
      <c r="D61" s="192" t="s">
        <v>79</v>
      </c>
      <c r="E61" s="204">
        <f t="shared" si="1"/>
        <v>4</v>
      </c>
      <c r="F61" s="163">
        <v>3</v>
      </c>
      <c r="G61" s="55"/>
      <c r="H61" s="152"/>
      <c r="I61" s="45"/>
      <c r="J61" s="376"/>
      <c r="K61" s="45"/>
      <c r="L61" s="46"/>
      <c r="M61" s="199"/>
      <c r="N61" s="295"/>
      <c r="O61" s="352"/>
      <c r="P61" s="349"/>
    </row>
    <row r="62" spans="1:16" ht="15.65" customHeight="1">
      <c r="A62" s="388"/>
      <c r="B62" s="368" t="s">
        <v>41</v>
      </c>
      <c r="C62" s="19" t="s">
        <v>56</v>
      </c>
      <c r="D62" s="194" t="s">
        <v>80</v>
      </c>
      <c r="E62" s="216">
        <f t="shared" si="1"/>
        <v>4</v>
      </c>
      <c r="F62" s="161">
        <v>3</v>
      </c>
      <c r="G62" s="124"/>
      <c r="H62" s="151"/>
      <c r="I62" s="17"/>
      <c r="J62" s="376"/>
      <c r="K62" s="15"/>
      <c r="L62" s="39"/>
      <c r="M62" s="200"/>
      <c r="N62" s="301"/>
      <c r="O62" s="352"/>
      <c r="P62" s="349"/>
    </row>
    <row r="63" spans="1:16" ht="15.65" customHeight="1">
      <c r="A63" s="388"/>
      <c r="B63" s="352"/>
      <c r="C63" s="10" t="s">
        <v>56</v>
      </c>
      <c r="D63" s="192" t="s">
        <v>81</v>
      </c>
      <c r="E63" s="204">
        <f t="shared" si="1"/>
        <v>4</v>
      </c>
      <c r="F63" s="163">
        <v>3</v>
      </c>
      <c r="G63" s="55"/>
      <c r="H63" s="152"/>
      <c r="I63" s="13"/>
      <c r="J63" s="376"/>
      <c r="K63" s="11"/>
      <c r="L63" s="43"/>
      <c r="M63" s="199"/>
      <c r="N63" s="295"/>
      <c r="O63" s="352"/>
      <c r="P63" s="349"/>
    </row>
    <row r="64" spans="1:16" ht="15.65" customHeight="1">
      <c r="A64" s="388"/>
      <c r="B64" s="352"/>
      <c r="C64" s="10" t="s">
        <v>56</v>
      </c>
      <c r="D64" s="192" t="s">
        <v>82</v>
      </c>
      <c r="E64" s="204">
        <f t="shared" si="1"/>
        <v>4</v>
      </c>
      <c r="F64" s="163">
        <v>3</v>
      </c>
      <c r="G64" s="55"/>
      <c r="H64" s="152"/>
      <c r="I64" s="13"/>
      <c r="J64" s="376"/>
      <c r="K64" s="11"/>
      <c r="L64" s="43"/>
      <c r="M64" s="199"/>
      <c r="N64" s="295"/>
      <c r="O64" s="352"/>
      <c r="P64" s="349"/>
    </row>
    <row r="65" spans="1:16" ht="15.65" customHeight="1">
      <c r="A65" s="388"/>
      <c r="B65" s="352"/>
      <c r="C65" s="27" t="s">
        <v>56</v>
      </c>
      <c r="D65" s="197" t="s">
        <v>83</v>
      </c>
      <c r="E65" s="247">
        <f t="shared" si="1"/>
        <v>4</v>
      </c>
      <c r="F65" s="302">
        <v>3</v>
      </c>
      <c r="G65" s="248"/>
      <c r="H65" s="305"/>
      <c r="I65" s="28"/>
      <c r="J65" s="376"/>
      <c r="K65" s="307"/>
      <c r="L65" s="337"/>
      <c r="M65" s="310"/>
      <c r="N65" s="314"/>
      <c r="O65" s="352"/>
      <c r="P65" s="349"/>
    </row>
    <row r="66" spans="1:16" ht="15.65" customHeight="1">
      <c r="A66" s="388"/>
      <c r="B66" s="355" t="s">
        <v>59</v>
      </c>
      <c r="C66" s="339" t="s">
        <v>56</v>
      </c>
      <c r="D66" s="341" t="s">
        <v>141</v>
      </c>
      <c r="E66" s="158">
        <v>4</v>
      </c>
      <c r="F66" s="216">
        <v>3</v>
      </c>
      <c r="G66" s="124"/>
      <c r="H66" s="344"/>
      <c r="I66" s="16"/>
      <c r="J66" s="376"/>
      <c r="K66" s="329"/>
      <c r="L66" s="346"/>
      <c r="M66" s="347" t="s">
        <v>142</v>
      </c>
      <c r="N66" s="331"/>
      <c r="O66" s="352"/>
      <c r="P66" s="349"/>
    </row>
    <row r="67" spans="1:16" ht="15.65" customHeight="1">
      <c r="A67" s="388"/>
      <c r="B67" s="356"/>
      <c r="C67" s="20" t="s">
        <v>56</v>
      </c>
      <c r="D67" s="342" t="s">
        <v>143</v>
      </c>
      <c r="E67" s="162">
        <v>4</v>
      </c>
      <c r="F67" s="246">
        <v>3</v>
      </c>
      <c r="G67" s="206"/>
      <c r="H67" s="343"/>
      <c r="I67" s="22"/>
      <c r="J67" s="376"/>
      <c r="K67" s="21"/>
      <c r="L67" s="345"/>
      <c r="M67" s="310" t="s">
        <v>142</v>
      </c>
      <c r="N67" s="332"/>
      <c r="O67" s="352"/>
      <c r="P67" s="349"/>
    </row>
    <row r="68" spans="1:16" ht="15.65" customHeight="1">
      <c r="A68" s="388"/>
      <c r="B68" s="372" t="s">
        <v>68</v>
      </c>
      <c r="C68" s="304" t="s">
        <v>56</v>
      </c>
      <c r="D68" s="232" t="s">
        <v>84</v>
      </c>
      <c r="E68" s="118">
        <f t="shared" ref="E68:E105" si="2">IFERROR(VLOOKUP(D68, 기본학점, 2, FALSE), "")</f>
        <v>4</v>
      </c>
      <c r="F68" s="249">
        <v>3</v>
      </c>
      <c r="G68" s="336"/>
      <c r="H68" s="150"/>
      <c r="I68" s="338"/>
      <c r="J68" s="376"/>
      <c r="K68" s="25"/>
      <c r="L68" s="26"/>
      <c r="M68" s="309"/>
      <c r="N68" s="299"/>
      <c r="O68" s="352"/>
      <c r="P68" s="349"/>
    </row>
    <row r="69" spans="1:16" ht="15.65" customHeight="1" thickBot="1">
      <c r="A69" s="397"/>
      <c r="B69" s="373"/>
      <c r="C69" s="51" t="s">
        <v>56</v>
      </c>
      <c r="D69" s="235" t="s">
        <v>85</v>
      </c>
      <c r="E69" s="132">
        <f t="shared" si="2"/>
        <v>4</v>
      </c>
      <c r="F69" s="132">
        <v>3</v>
      </c>
      <c r="G69" s="279"/>
      <c r="H69" s="280"/>
      <c r="I69" s="166"/>
      <c r="J69" s="377"/>
      <c r="K69" s="281"/>
      <c r="L69" s="282"/>
      <c r="M69" s="198"/>
      <c r="N69" s="296"/>
      <c r="O69" s="373"/>
      <c r="P69" s="349"/>
    </row>
    <row r="70" spans="1:16" ht="15.65" customHeight="1">
      <c r="A70" s="412" t="s">
        <v>86</v>
      </c>
      <c r="B70" s="283" t="s">
        <v>17</v>
      </c>
      <c r="C70" s="284" t="s">
        <v>56</v>
      </c>
      <c r="D70" s="285" t="s">
        <v>87</v>
      </c>
      <c r="E70" s="286">
        <f t="shared" si="2"/>
        <v>4</v>
      </c>
      <c r="F70" s="286">
        <v>3</v>
      </c>
      <c r="G70" s="287"/>
      <c r="H70" s="288"/>
      <c r="I70" s="67"/>
      <c r="J70" s="242"/>
      <c r="K70" s="384" t="s">
        <v>73</v>
      </c>
      <c r="L70" s="38"/>
      <c r="M70" s="289"/>
      <c r="N70" s="312"/>
      <c r="O70" s="392">
        <v>42</v>
      </c>
      <c r="P70" s="348"/>
    </row>
    <row r="71" spans="1:16" ht="15.65" customHeight="1">
      <c r="A71" s="388"/>
      <c r="B71" s="238" t="s">
        <v>25</v>
      </c>
      <c r="C71" s="19" t="s">
        <v>56</v>
      </c>
      <c r="D71" s="194" t="s">
        <v>88</v>
      </c>
      <c r="E71" s="216">
        <f t="shared" si="2"/>
        <v>4</v>
      </c>
      <c r="F71" s="158">
        <v>3</v>
      </c>
      <c r="G71" s="124"/>
      <c r="H71" s="145"/>
      <c r="I71" s="17"/>
      <c r="J71" s="18"/>
      <c r="K71" s="376"/>
      <c r="L71" s="18"/>
      <c r="M71" s="200"/>
      <c r="N71" s="301"/>
      <c r="O71" s="352"/>
      <c r="P71" s="349"/>
    </row>
    <row r="72" spans="1:16" ht="15.65" customHeight="1">
      <c r="A72" s="388"/>
      <c r="B72" s="355" t="s">
        <v>31</v>
      </c>
      <c r="C72" s="19" t="s">
        <v>21</v>
      </c>
      <c r="D72" s="194" t="s">
        <v>89</v>
      </c>
      <c r="E72" s="216">
        <f t="shared" si="2"/>
        <v>4</v>
      </c>
      <c r="F72" s="158">
        <v>3</v>
      </c>
      <c r="G72" s="124"/>
      <c r="H72" s="145"/>
      <c r="I72" s="17"/>
      <c r="J72" s="18"/>
      <c r="K72" s="376"/>
      <c r="L72" s="18"/>
      <c r="M72" s="200"/>
      <c r="N72" s="301"/>
      <c r="O72" s="352"/>
      <c r="P72" s="349"/>
    </row>
    <row r="73" spans="1:16" ht="15.65" customHeight="1">
      <c r="A73" s="388"/>
      <c r="B73" s="356"/>
      <c r="C73" s="27" t="s">
        <v>56</v>
      </c>
      <c r="D73" s="196" t="s">
        <v>90</v>
      </c>
      <c r="E73" s="159">
        <f t="shared" si="2"/>
        <v>4</v>
      </c>
      <c r="F73" s="159">
        <v>3</v>
      </c>
      <c r="G73" s="125"/>
      <c r="H73" s="147"/>
      <c r="I73" s="23"/>
      <c r="J73" s="24"/>
      <c r="K73" s="376"/>
      <c r="L73" s="24"/>
      <c r="M73" s="193"/>
      <c r="N73" s="313"/>
      <c r="O73" s="352"/>
      <c r="P73" s="349"/>
    </row>
    <row r="74" spans="1:16" ht="15.65" customHeight="1">
      <c r="A74" s="388"/>
      <c r="B74" s="368" t="s">
        <v>36</v>
      </c>
      <c r="C74" s="19" t="s">
        <v>56</v>
      </c>
      <c r="D74" s="194" t="s">
        <v>91</v>
      </c>
      <c r="E74" s="216">
        <f t="shared" si="2"/>
        <v>4</v>
      </c>
      <c r="F74" s="161">
        <v>3</v>
      </c>
      <c r="G74" s="124"/>
      <c r="H74" s="151"/>
      <c r="I74" s="41"/>
      <c r="J74" s="42"/>
      <c r="K74" s="376"/>
      <c r="L74" s="42"/>
      <c r="M74" s="200"/>
      <c r="N74" s="301"/>
      <c r="O74" s="352"/>
      <c r="P74" s="349"/>
    </row>
    <row r="75" spans="1:16" ht="15.65" customHeight="1">
      <c r="A75" s="388"/>
      <c r="B75" s="352"/>
      <c r="C75" s="10" t="s">
        <v>56</v>
      </c>
      <c r="D75" s="192" t="s">
        <v>92</v>
      </c>
      <c r="E75" s="204">
        <f t="shared" si="2"/>
        <v>4</v>
      </c>
      <c r="F75" s="163">
        <v>3</v>
      </c>
      <c r="G75" s="55"/>
      <c r="H75" s="152"/>
      <c r="I75" s="45"/>
      <c r="J75" s="46"/>
      <c r="K75" s="376"/>
      <c r="L75" s="46"/>
      <c r="M75" s="199"/>
      <c r="N75" s="295"/>
      <c r="O75" s="352"/>
      <c r="P75" s="349"/>
    </row>
    <row r="76" spans="1:16" ht="15.65" customHeight="1">
      <c r="A76" s="388"/>
      <c r="B76" s="352"/>
      <c r="C76" s="10" t="s">
        <v>53</v>
      </c>
      <c r="D76" s="192" t="s">
        <v>93</v>
      </c>
      <c r="E76" s="204">
        <f t="shared" si="2"/>
        <v>4</v>
      </c>
      <c r="F76" s="163">
        <v>3</v>
      </c>
      <c r="G76" s="55"/>
      <c r="H76" s="152"/>
      <c r="I76" s="45"/>
      <c r="J76" s="46"/>
      <c r="K76" s="376"/>
      <c r="L76" s="46"/>
      <c r="M76" s="199"/>
      <c r="N76" s="295"/>
      <c r="O76" s="352"/>
      <c r="P76" s="349"/>
    </row>
    <row r="77" spans="1:16" ht="15.65" customHeight="1">
      <c r="A77" s="388"/>
      <c r="B77" s="352"/>
      <c r="C77" s="10" t="s">
        <v>53</v>
      </c>
      <c r="D77" s="192" t="s">
        <v>94</v>
      </c>
      <c r="E77" s="204">
        <f t="shared" si="2"/>
        <v>4</v>
      </c>
      <c r="F77" s="163">
        <v>3</v>
      </c>
      <c r="G77" s="55"/>
      <c r="H77" s="152"/>
      <c r="I77" s="45"/>
      <c r="J77" s="46"/>
      <c r="K77" s="376"/>
      <c r="L77" s="46"/>
      <c r="M77" s="199"/>
      <c r="N77" s="295"/>
      <c r="O77" s="352"/>
      <c r="P77" s="349"/>
    </row>
    <row r="78" spans="1:16" ht="15.65" customHeight="1">
      <c r="A78" s="388"/>
      <c r="B78" s="355" t="s">
        <v>41</v>
      </c>
      <c r="C78" s="19" t="s">
        <v>56</v>
      </c>
      <c r="D78" s="194" t="s">
        <v>95</v>
      </c>
      <c r="E78" s="216">
        <f t="shared" si="2"/>
        <v>4</v>
      </c>
      <c r="F78" s="161">
        <v>3</v>
      </c>
      <c r="G78" s="124"/>
      <c r="H78" s="151"/>
      <c r="I78" s="33"/>
      <c r="J78" s="34"/>
      <c r="K78" s="376"/>
      <c r="L78" s="34"/>
      <c r="M78" s="200"/>
      <c r="N78" s="301"/>
      <c r="O78" s="352"/>
      <c r="P78" s="349"/>
    </row>
    <row r="79" spans="1:16" ht="15.65" customHeight="1">
      <c r="A79" s="388"/>
      <c r="B79" s="352"/>
      <c r="C79" s="10" t="s">
        <v>56</v>
      </c>
      <c r="D79" s="192" t="s">
        <v>96</v>
      </c>
      <c r="E79" s="204">
        <f t="shared" si="2"/>
        <v>4</v>
      </c>
      <c r="F79" s="163">
        <v>3</v>
      </c>
      <c r="G79" s="55"/>
      <c r="H79" s="152"/>
      <c r="I79" s="35"/>
      <c r="J79" s="36"/>
      <c r="K79" s="376"/>
      <c r="L79" s="36"/>
      <c r="M79" s="199"/>
      <c r="N79" s="295"/>
      <c r="O79" s="352"/>
      <c r="P79" s="349"/>
    </row>
    <row r="80" spans="1:16" ht="15.65" customHeight="1">
      <c r="A80" s="388"/>
      <c r="B80" s="352"/>
      <c r="C80" s="10" t="s">
        <v>56</v>
      </c>
      <c r="D80" s="192" t="s">
        <v>97</v>
      </c>
      <c r="E80" s="204">
        <f t="shared" si="2"/>
        <v>4</v>
      </c>
      <c r="F80" s="163">
        <v>3</v>
      </c>
      <c r="G80" s="139"/>
      <c r="H80" s="146"/>
      <c r="I80" s="13"/>
      <c r="J80" s="14"/>
      <c r="K80" s="376"/>
      <c r="L80" s="14"/>
      <c r="M80" s="199"/>
      <c r="N80" s="295"/>
      <c r="O80" s="352"/>
      <c r="P80" s="349"/>
    </row>
    <row r="81" spans="1:16" ht="15.65" customHeight="1">
      <c r="A81" s="388"/>
      <c r="B81" s="356"/>
      <c r="C81" s="27" t="s">
        <v>56</v>
      </c>
      <c r="D81" s="196" t="s">
        <v>98</v>
      </c>
      <c r="E81" s="159">
        <f t="shared" si="2"/>
        <v>4</v>
      </c>
      <c r="F81" s="123">
        <v>3</v>
      </c>
      <c r="G81" s="140"/>
      <c r="H81" s="147"/>
      <c r="I81" s="23"/>
      <c r="J81" s="24"/>
      <c r="K81" s="376"/>
      <c r="L81" s="24"/>
      <c r="M81" s="193"/>
      <c r="N81" s="314"/>
      <c r="O81" s="352"/>
      <c r="P81" s="349"/>
    </row>
    <row r="82" spans="1:16" ht="15.65" customHeight="1">
      <c r="A82" s="388"/>
      <c r="B82" s="368" t="s">
        <v>68</v>
      </c>
      <c r="C82" s="19" t="s">
        <v>56</v>
      </c>
      <c r="D82" s="194" t="s">
        <v>100</v>
      </c>
      <c r="E82" s="216">
        <f t="shared" si="2"/>
        <v>4</v>
      </c>
      <c r="F82" s="158">
        <v>3</v>
      </c>
      <c r="G82" s="124"/>
      <c r="H82" s="145"/>
      <c r="I82" s="17"/>
      <c r="J82" s="18"/>
      <c r="K82" s="376"/>
      <c r="L82" s="18"/>
      <c r="M82" s="200"/>
      <c r="N82" s="298"/>
      <c r="O82" s="352"/>
      <c r="P82" s="349"/>
    </row>
    <row r="83" spans="1:16" ht="15.65" customHeight="1">
      <c r="A83" s="388"/>
      <c r="B83" s="352"/>
      <c r="C83" s="20" t="s">
        <v>56</v>
      </c>
      <c r="D83" s="196" t="s">
        <v>101</v>
      </c>
      <c r="E83" s="247">
        <f t="shared" si="2"/>
        <v>4</v>
      </c>
      <c r="F83" s="123">
        <v>3</v>
      </c>
      <c r="G83" s="248"/>
      <c r="H83" s="148"/>
      <c r="I83" s="28"/>
      <c r="J83" s="236"/>
      <c r="K83" s="385"/>
      <c r="L83" s="236"/>
      <c r="M83" s="303"/>
      <c r="N83" s="315"/>
      <c r="O83" s="352"/>
      <c r="P83" s="349"/>
    </row>
    <row r="84" spans="1:16" ht="15.65" customHeight="1">
      <c r="A84" s="388"/>
      <c r="B84" s="368" t="s">
        <v>59</v>
      </c>
      <c r="C84" s="29" t="s">
        <v>56</v>
      </c>
      <c r="D84" s="202" t="s">
        <v>102</v>
      </c>
      <c r="E84" s="158">
        <f t="shared" si="2"/>
        <v>3</v>
      </c>
      <c r="F84" s="158">
        <v>2</v>
      </c>
      <c r="G84" s="41"/>
      <c r="H84" s="145"/>
      <c r="I84" s="15"/>
      <c r="J84" s="16"/>
      <c r="K84" s="415" t="s">
        <v>103</v>
      </c>
      <c r="L84" s="306"/>
      <c r="M84" s="195"/>
      <c r="N84" s="316"/>
      <c r="O84" s="352"/>
      <c r="P84" s="349"/>
    </row>
    <row r="85" spans="1:16" ht="15.65" customHeight="1">
      <c r="A85" s="388"/>
      <c r="B85" s="352"/>
      <c r="C85" s="20" t="s">
        <v>56</v>
      </c>
      <c r="D85" s="196" t="s">
        <v>104</v>
      </c>
      <c r="E85" s="121">
        <f t="shared" si="2"/>
        <v>3</v>
      </c>
      <c r="F85" s="159">
        <v>2</v>
      </c>
      <c r="G85" s="327"/>
      <c r="H85" s="147"/>
      <c r="I85" s="30"/>
      <c r="J85" s="22"/>
      <c r="K85" s="376"/>
      <c r="L85" s="178"/>
      <c r="M85" s="227"/>
      <c r="N85" s="332"/>
      <c r="O85" s="352"/>
      <c r="P85" s="349"/>
    </row>
    <row r="86" spans="1:16" ht="15.65" customHeight="1">
      <c r="A86" s="388"/>
      <c r="B86" s="378" t="s">
        <v>65</v>
      </c>
      <c r="C86" s="231" t="s">
        <v>21</v>
      </c>
      <c r="D86" s="232" t="s">
        <v>105</v>
      </c>
      <c r="E86" s="158">
        <f t="shared" si="2"/>
        <v>3</v>
      </c>
      <c r="F86" s="119">
        <v>2</v>
      </c>
      <c r="G86" s="328"/>
      <c r="H86" s="145"/>
      <c r="I86" s="329"/>
      <c r="J86" s="16"/>
      <c r="K86" s="353" t="s">
        <v>103</v>
      </c>
      <c r="L86" s="326"/>
      <c r="M86" s="319"/>
      <c r="N86" s="331"/>
      <c r="O86" s="352"/>
      <c r="P86" s="349"/>
    </row>
    <row r="87" spans="1:16" ht="15.65" customHeight="1" thickBot="1">
      <c r="A87" s="388"/>
      <c r="B87" s="373"/>
      <c r="C87" s="244" t="s">
        <v>56</v>
      </c>
      <c r="D87" s="202" t="s">
        <v>106</v>
      </c>
      <c r="E87" s="183">
        <f t="shared" si="2"/>
        <v>3</v>
      </c>
      <c r="F87" s="119">
        <v>2</v>
      </c>
      <c r="G87" s="234"/>
      <c r="H87" s="203"/>
      <c r="I87" s="330"/>
      <c r="J87" s="52"/>
      <c r="K87" s="377"/>
      <c r="L87" s="229"/>
      <c r="M87" s="198"/>
      <c r="N87" s="316"/>
      <c r="O87" s="352"/>
      <c r="P87" s="349"/>
    </row>
    <row r="88" spans="1:16" ht="15.65" customHeight="1">
      <c r="A88" s="388"/>
      <c r="B88" s="381" t="s">
        <v>17</v>
      </c>
      <c r="C88" s="37" t="s">
        <v>56</v>
      </c>
      <c r="D88" s="190" t="s">
        <v>107</v>
      </c>
      <c r="E88" s="164">
        <f t="shared" si="2"/>
        <v>4</v>
      </c>
      <c r="F88" s="164">
        <v>3</v>
      </c>
      <c r="G88" s="126"/>
      <c r="H88" s="149"/>
      <c r="I88" s="59"/>
      <c r="J88" s="38"/>
      <c r="K88" s="224"/>
      <c r="L88" s="416" t="s">
        <v>108</v>
      </c>
      <c r="M88" s="201"/>
      <c r="N88" s="113"/>
      <c r="O88" s="352"/>
      <c r="P88" s="349"/>
    </row>
    <row r="89" spans="1:16" ht="15.65" customHeight="1">
      <c r="A89" s="388"/>
      <c r="B89" s="356"/>
      <c r="C89" s="27" t="s">
        <v>53</v>
      </c>
      <c r="D89" s="196" t="s">
        <v>109</v>
      </c>
      <c r="E89" s="162">
        <f t="shared" si="2"/>
        <v>4</v>
      </c>
      <c r="F89" s="123">
        <v>3</v>
      </c>
      <c r="G89" s="206"/>
      <c r="H89" s="207"/>
      <c r="I89" s="208"/>
      <c r="J89" s="209"/>
      <c r="K89" s="210"/>
      <c r="L89" s="376"/>
      <c r="M89" s="193"/>
      <c r="N89" s="315"/>
      <c r="O89" s="352"/>
      <c r="P89" s="349"/>
    </row>
    <row r="90" spans="1:16" ht="15.65" customHeight="1">
      <c r="A90" s="388"/>
      <c r="B90" s="355" t="s">
        <v>25</v>
      </c>
      <c r="C90" s="19" t="s">
        <v>56</v>
      </c>
      <c r="D90" s="194" t="s">
        <v>110</v>
      </c>
      <c r="E90" s="216">
        <f t="shared" si="2"/>
        <v>4</v>
      </c>
      <c r="F90" s="158">
        <v>3</v>
      </c>
      <c r="G90" s="124"/>
      <c r="H90" s="145"/>
      <c r="I90" s="62"/>
      <c r="J90" s="18"/>
      <c r="K90" s="50"/>
      <c r="L90" s="376"/>
      <c r="M90" s="200"/>
      <c r="N90" s="301"/>
      <c r="O90" s="352"/>
      <c r="P90" s="349"/>
    </row>
    <row r="91" spans="1:16" ht="15.65" customHeight="1">
      <c r="A91" s="388"/>
      <c r="B91" s="356"/>
      <c r="C91" s="20" t="s">
        <v>53</v>
      </c>
      <c r="D91" s="196" t="s">
        <v>111</v>
      </c>
      <c r="E91" s="159">
        <f t="shared" si="2"/>
        <v>4</v>
      </c>
      <c r="F91" s="123">
        <v>3</v>
      </c>
      <c r="G91" s="125"/>
      <c r="H91" s="147"/>
      <c r="I91" s="60"/>
      <c r="J91" s="24"/>
      <c r="K91" s="61"/>
      <c r="L91" s="376"/>
      <c r="M91" s="193"/>
      <c r="N91" s="314"/>
      <c r="O91" s="352"/>
      <c r="P91" s="349"/>
    </row>
    <row r="92" spans="1:16" ht="15.65" customHeight="1">
      <c r="A92" s="388"/>
      <c r="B92" s="355" t="s">
        <v>31</v>
      </c>
      <c r="C92" s="19" t="s">
        <v>56</v>
      </c>
      <c r="D92" s="194" t="s">
        <v>112</v>
      </c>
      <c r="E92" s="216">
        <f t="shared" si="2"/>
        <v>4</v>
      </c>
      <c r="F92" s="158">
        <v>3</v>
      </c>
      <c r="G92" s="124"/>
      <c r="H92" s="145"/>
      <c r="I92" s="15"/>
      <c r="J92" s="16"/>
      <c r="K92" s="165"/>
      <c r="L92" s="376"/>
      <c r="M92" s="200"/>
      <c r="N92" s="298"/>
      <c r="O92" s="352"/>
      <c r="P92" s="349"/>
    </row>
    <row r="93" spans="1:16" ht="15.65" customHeight="1">
      <c r="A93" s="388"/>
      <c r="B93" s="356"/>
      <c r="C93" s="20" t="s">
        <v>56</v>
      </c>
      <c r="D93" s="196" t="s">
        <v>113</v>
      </c>
      <c r="E93" s="159">
        <f t="shared" si="2"/>
        <v>4</v>
      </c>
      <c r="F93" s="159">
        <v>3</v>
      </c>
      <c r="G93" s="125"/>
      <c r="H93" s="147"/>
      <c r="I93" s="21"/>
      <c r="J93" s="22"/>
      <c r="K93" s="64"/>
      <c r="L93" s="376"/>
      <c r="M93" s="193"/>
      <c r="N93" s="315"/>
      <c r="O93" s="352"/>
      <c r="P93" s="349"/>
    </row>
    <row r="94" spans="1:16" ht="15.65" customHeight="1">
      <c r="A94" s="388"/>
      <c r="B94" s="355" t="s">
        <v>36</v>
      </c>
      <c r="C94" s="19" t="s">
        <v>53</v>
      </c>
      <c r="D94" s="194" t="s">
        <v>114</v>
      </c>
      <c r="E94" s="216">
        <f t="shared" si="2"/>
        <v>4</v>
      </c>
      <c r="F94" s="161">
        <v>3</v>
      </c>
      <c r="G94" s="124"/>
      <c r="H94" s="151"/>
      <c r="I94" s="41"/>
      <c r="J94" s="42"/>
      <c r="K94" s="40"/>
      <c r="L94" s="376"/>
      <c r="M94" s="200"/>
      <c r="N94" s="301"/>
      <c r="O94" s="352"/>
      <c r="P94" s="349"/>
    </row>
    <row r="95" spans="1:16" ht="15.65" customHeight="1">
      <c r="A95" s="388"/>
      <c r="B95" s="352"/>
      <c r="C95" s="10" t="s">
        <v>56</v>
      </c>
      <c r="D95" s="192" t="s">
        <v>115</v>
      </c>
      <c r="E95" s="204">
        <f t="shared" si="2"/>
        <v>4</v>
      </c>
      <c r="F95" s="163">
        <v>3</v>
      </c>
      <c r="G95" s="55"/>
      <c r="H95" s="152"/>
      <c r="I95" s="45"/>
      <c r="J95" s="46"/>
      <c r="K95" s="44"/>
      <c r="L95" s="376"/>
      <c r="M95" s="199"/>
      <c r="N95" s="295"/>
      <c r="O95" s="352"/>
      <c r="P95" s="349"/>
    </row>
    <row r="96" spans="1:16" ht="15.65" customHeight="1">
      <c r="A96" s="388"/>
      <c r="B96" s="352"/>
      <c r="C96" s="10" t="s">
        <v>53</v>
      </c>
      <c r="D96" s="192" t="s">
        <v>116</v>
      </c>
      <c r="E96" s="204">
        <f t="shared" si="2"/>
        <v>4</v>
      </c>
      <c r="F96" s="163">
        <v>3</v>
      </c>
      <c r="G96" s="55"/>
      <c r="H96" s="152"/>
      <c r="I96" s="45"/>
      <c r="J96" s="46"/>
      <c r="K96" s="44"/>
      <c r="L96" s="376"/>
      <c r="M96" s="199"/>
      <c r="N96" s="295"/>
      <c r="O96" s="352"/>
      <c r="P96" s="349"/>
    </row>
    <row r="97" spans="1:17" ht="15.65" customHeight="1">
      <c r="A97" s="388"/>
      <c r="B97" s="356"/>
      <c r="C97" s="20" t="s">
        <v>56</v>
      </c>
      <c r="D97" s="196" t="s">
        <v>117</v>
      </c>
      <c r="E97" s="159">
        <f t="shared" si="2"/>
        <v>4</v>
      </c>
      <c r="F97" s="159">
        <v>3</v>
      </c>
      <c r="G97" s="125"/>
      <c r="H97" s="153"/>
      <c r="I97" s="56"/>
      <c r="J97" s="57"/>
      <c r="K97" s="65"/>
      <c r="L97" s="376"/>
      <c r="M97" s="193"/>
      <c r="N97" s="315"/>
      <c r="O97" s="352"/>
      <c r="P97" s="349"/>
    </row>
    <row r="98" spans="1:17" ht="15.65" customHeight="1">
      <c r="A98" s="388"/>
      <c r="B98" s="368" t="s">
        <v>41</v>
      </c>
      <c r="C98" s="19" t="s">
        <v>53</v>
      </c>
      <c r="D98" s="194" t="s">
        <v>118</v>
      </c>
      <c r="E98" s="216">
        <f t="shared" si="2"/>
        <v>4</v>
      </c>
      <c r="F98" s="161">
        <v>3</v>
      </c>
      <c r="G98" s="124"/>
      <c r="H98" s="151"/>
      <c r="I98" s="15"/>
      <c r="J98" s="39"/>
      <c r="K98" s="225"/>
      <c r="L98" s="376"/>
      <c r="M98" s="200"/>
      <c r="N98" s="301"/>
      <c r="O98" s="352"/>
      <c r="P98" s="349"/>
    </row>
    <row r="99" spans="1:17" ht="15.65" customHeight="1">
      <c r="A99" s="388"/>
      <c r="B99" s="352"/>
      <c r="C99" s="10" t="s">
        <v>53</v>
      </c>
      <c r="D99" s="192" t="s">
        <v>119</v>
      </c>
      <c r="E99" s="204">
        <f t="shared" si="2"/>
        <v>4</v>
      </c>
      <c r="F99" s="163">
        <v>3</v>
      </c>
      <c r="G99" s="55"/>
      <c r="H99" s="152"/>
      <c r="I99" s="11"/>
      <c r="J99" s="43"/>
      <c r="K99" s="205"/>
      <c r="L99" s="376"/>
      <c r="M99" s="199"/>
      <c r="N99" s="295"/>
      <c r="O99" s="352"/>
      <c r="P99" s="349"/>
    </row>
    <row r="100" spans="1:17" ht="15.65" customHeight="1">
      <c r="A100" s="388"/>
      <c r="B100" s="352"/>
      <c r="C100" s="10" t="s">
        <v>53</v>
      </c>
      <c r="D100" s="192" t="s">
        <v>120</v>
      </c>
      <c r="E100" s="204">
        <f t="shared" si="2"/>
        <v>4</v>
      </c>
      <c r="F100" s="163">
        <v>3</v>
      </c>
      <c r="G100" s="55"/>
      <c r="H100" s="152"/>
      <c r="I100" s="11"/>
      <c r="J100" s="43"/>
      <c r="K100" s="205"/>
      <c r="L100" s="376"/>
      <c r="M100" s="199"/>
      <c r="N100" s="295"/>
      <c r="O100" s="352"/>
      <c r="P100" s="349"/>
    </row>
    <row r="101" spans="1:17" ht="15.65" customHeight="1">
      <c r="A101" s="388"/>
      <c r="B101" s="368" t="s">
        <v>68</v>
      </c>
      <c r="C101" s="19" t="s">
        <v>53</v>
      </c>
      <c r="D101" s="194" t="s">
        <v>121</v>
      </c>
      <c r="E101" s="216">
        <f t="shared" si="2"/>
        <v>4</v>
      </c>
      <c r="F101" s="161">
        <v>3</v>
      </c>
      <c r="G101" s="124"/>
      <c r="H101" s="145"/>
      <c r="I101" s="15"/>
      <c r="J101" s="16"/>
      <c r="K101" s="165"/>
      <c r="L101" s="376"/>
      <c r="M101" s="200"/>
      <c r="N101" s="298"/>
      <c r="O101" s="352"/>
      <c r="P101" s="349"/>
    </row>
    <row r="102" spans="1:17" ht="15.65" customHeight="1">
      <c r="A102" s="388"/>
      <c r="B102" s="352"/>
      <c r="C102" s="20" t="s">
        <v>53</v>
      </c>
      <c r="D102" s="197" t="s">
        <v>122</v>
      </c>
      <c r="E102" s="247">
        <f t="shared" si="2"/>
        <v>4</v>
      </c>
      <c r="F102" s="123">
        <v>3</v>
      </c>
      <c r="G102" s="248"/>
      <c r="H102" s="147"/>
      <c r="I102" s="23"/>
      <c r="J102" s="323"/>
      <c r="K102" s="230"/>
      <c r="L102" s="376"/>
      <c r="M102" s="303"/>
      <c r="N102" s="314"/>
      <c r="O102" s="352"/>
      <c r="P102" s="349"/>
    </row>
    <row r="103" spans="1:17" ht="15.65" customHeight="1">
      <c r="A103" s="388"/>
      <c r="B103" s="378" t="s">
        <v>59</v>
      </c>
      <c r="C103" s="29" t="s">
        <v>56</v>
      </c>
      <c r="D103" s="318" t="s">
        <v>123</v>
      </c>
      <c r="E103" s="158">
        <f t="shared" si="2"/>
        <v>3</v>
      </c>
      <c r="F103" s="158">
        <v>2</v>
      </c>
      <c r="G103" s="41"/>
      <c r="H103" s="203"/>
      <c r="I103" s="8"/>
      <c r="J103" s="16"/>
      <c r="K103" s="324"/>
      <c r="L103" s="353" t="s">
        <v>103</v>
      </c>
      <c r="M103" s="195"/>
      <c r="N103" s="325"/>
      <c r="O103" s="352"/>
      <c r="P103" s="349"/>
    </row>
    <row r="104" spans="1:17" ht="15.65" customHeight="1" thickBot="1">
      <c r="A104" s="388"/>
      <c r="B104" s="373"/>
      <c r="C104" s="27" t="s">
        <v>56</v>
      </c>
      <c r="D104" s="197" t="s">
        <v>124</v>
      </c>
      <c r="E104" s="246">
        <f t="shared" si="2"/>
        <v>3</v>
      </c>
      <c r="F104" s="119">
        <v>2</v>
      </c>
      <c r="G104" s="234"/>
      <c r="H104" s="154"/>
      <c r="I104" s="30"/>
      <c r="J104" s="52"/>
      <c r="K104" s="317"/>
      <c r="L104" s="377"/>
      <c r="M104" s="227"/>
      <c r="N104" s="333"/>
      <c r="O104" s="373"/>
      <c r="P104" s="350"/>
    </row>
    <row r="105" spans="1:17" ht="18" hidden="1" customHeight="1" thickBot="1">
      <c r="A105" s="226"/>
      <c r="B105" s="117"/>
      <c r="C105" s="134"/>
      <c r="D105" s="135"/>
      <c r="E105" s="121" t="str">
        <f t="shared" si="2"/>
        <v/>
      </c>
      <c r="F105" s="123"/>
      <c r="G105" s="133"/>
      <c r="H105" s="203"/>
      <c r="I105" s="30"/>
      <c r="J105" s="181"/>
      <c r="K105" s="117"/>
      <c r="L105" s="181"/>
      <c r="M105" s="29"/>
      <c r="N105" s="29"/>
      <c r="O105" s="186"/>
      <c r="P105" s="187"/>
    </row>
    <row r="106" spans="1:17" ht="17.25" customHeight="1">
      <c r="A106" s="381" t="s">
        <v>125</v>
      </c>
      <c r="B106" s="382"/>
      <c r="C106" s="382"/>
      <c r="D106" s="382"/>
      <c r="E106" s="383"/>
      <c r="F106" s="174">
        <v>174</v>
      </c>
      <c r="G106" s="67">
        <f>SUM(G7:G102)</f>
        <v>30</v>
      </c>
      <c r="H106" s="188">
        <f>SUM(H7:H105)</f>
        <v>30</v>
      </c>
      <c r="I106" s="67">
        <v>29</v>
      </c>
      <c r="J106" s="68">
        <v>29</v>
      </c>
      <c r="K106" s="69">
        <v>28</v>
      </c>
      <c r="L106" s="32">
        <v>28</v>
      </c>
      <c r="M106" s="174"/>
      <c r="N106" s="174"/>
      <c r="O106" s="31">
        <f>SUM(G106:L106)</f>
        <v>174</v>
      </c>
      <c r="P106" s="179">
        <f>SUM(P7:P102)</f>
        <v>84</v>
      </c>
      <c r="Q106" s="1"/>
    </row>
    <row r="107" spans="1:17" ht="15.65" customHeight="1">
      <c r="A107" s="355" t="s">
        <v>126</v>
      </c>
      <c r="B107" s="402"/>
      <c r="C107" s="402"/>
      <c r="D107" s="402"/>
      <c r="E107" s="403"/>
      <c r="F107" s="70">
        <v>18</v>
      </c>
      <c r="G107" s="30">
        <v>3</v>
      </c>
      <c r="H107" s="181">
        <v>3</v>
      </c>
      <c r="I107" s="180">
        <v>3</v>
      </c>
      <c r="J107" s="181">
        <v>3</v>
      </c>
      <c r="K107" s="180">
        <v>3</v>
      </c>
      <c r="L107" s="178">
        <v>3</v>
      </c>
      <c r="M107" s="91"/>
      <c r="N107" s="30"/>
      <c r="O107" s="30">
        <f>SUM(G107:L107)</f>
        <v>18</v>
      </c>
      <c r="P107" s="176">
        <v>18</v>
      </c>
    </row>
    <row r="108" spans="1:17" ht="15" customHeight="1">
      <c r="A108" s="355" t="s">
        <v>127</v>
      </c>
      <c r="B108" s="402"/>
      <c r="C108" s="402"/>
      <c r="D108" s="402"/>
      <c r="E108" s="402"/>
      <c r="F108" s="403"/>
      <c r="G108" s="71">
        <f t="shared" ref="G108:L108" si="3">SUM(G106:G107)</f>
        <v>33</v>
      </c>
      <c r="H108" s="72">
        <f t="shared" si="3"/>
        <v>33</v>
      </c>
      <c r="I108" s="71">
        <f t="shared" si="3"/>
        <v>32</v>
      </c>
      <c r="J108" s="72">
        <f t="shared" si="3"/>
        <v>32</v>
      </c>
      <c r="K108" s="71">
        <f t="shared" si="3"/>
        <v>31</v>
      </c>
      <c r="L108" s="72">
        <f t="shared" si="3"/>
        <v>31</v>
      </c>
      <c r="M108" s="70"/>
      <c r="N108" s="177"/>
      <c r="O108" s="386">
        <f>SUM(G108:M108)</f>
        <v>192</v>
      </c>
      <c r="P108" s="387"/>
    </row>
    <row r="109" spans="1:17" ht="15" customHeight="1">
      <c r="A109" s="355" t="s">
        <v>128</v>
      </c>
      <c r="B109" s="402"/>
      <c r="C109" s="402"/>
      <c r="D109" s="402"/>
      <c r="E109" s="402"/>
      <c r="F109" s="403"/>
      <c r="G109" s="177">
        <v>9</v>
      </c>
      <c r="H109" s="72">
        <v>9</v>
      </c>
      <c r="I109" s="71">
        <v>10</v>
      </c>
      <c r="J109" s="72">
        <v>10</v>
      </c>
      <c r="K109" s="71">
        <v>10</v>
      </c>
      <c r="L109" s="182">
        <v>10</v>
      </c>
      <c r="M109" s="70"/>
      <c r="N109" s="177"/>
      <c r="O109" s="400"/>
      <c r="P109" s="387"/>
    </row>
    <row r="110" spans="1:17" ht="17.25" customHeight="1" thickBot="1">
      <c r="A110" s="378" t="s">
        <v>129</v>
      </c>
      <c r="B110" s="410"/>
      <c r="C110" s="410"/>
      <c r="D110" s="410"/>
      <c r="E110" s="410"/>
      <c r="F110" s="354"/>
      <c r="G110" s="353">
        <f>SUM(G108:H108)</f>
        <v>66</v>
      </c>
      <c r="H110" s="354"/>
      <c r="I110" s="353">
        <f>SUM(I108:J108)</f>
        <v>64</v>
      </c>
      <c r="J110" s="354"/>
      <c r="K110" s="353">
        <f>SUM(K108:L108)</f>
        <v>62</v>
      </c>
      <c r="L110" s="354"/>
      <c r="M110" s="92"/>
      <c r="N110" s="166"/>
      <c r="O110" s="369">
        <f>SUM(G110:M110)</f>
        <v>192</v>
      </c>
      <c r="P110" s="406"/>
    </row>
    <row r="111" spans="1:17" ht="14.4" customHeight="1">
      <c r="A111" s="357" t="s">
        <v>144</v>
      </c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9"/>
    </row>
    <row r="112" spans="1:17" ht="14.4" customHeight="1">
      <c r="A112" s="360"/>
      <c r="B112" s="361"/>
      <c r="C112" s="361"/>
      <c r="D112" s="361"/>
      <c r="E112" s="361"/>
      <c r="F112" s="361"/>
      <c r="G112" s="361"/>
      <c r="H112" s="361"/>
      <c r="I112" s="361"/>
      <c r="J112" s="361"/>
      <c r="K112" s="361"/>
      <c r="L112" s="361"/>
      <c r="M112" s="361"/>
      <c r="N112" s="361"/>
      <c r="O112" s="361"/>
      <c r="P112" s="362"/>
    </row>
    <row r="113" spans="1:19" ht="14.4" customHeight="1">
      <c r="A113" s="360"/>
      <c r="B113" s="361"/>
      <c r="C113" s="361"/>
      <c r="D113" s="361"/>
      <c r="E113" s="361"/>
      <c r="F113" s="361"/>
      <c r="G113" s="361"/>
      <c r="H113" s="361"/>
      <c r="I113" s="361"/>
      <c r="J113" s="361"/>
      <c r="K113" s="361"/>
      <c r="L113" s="361"/>
      <c r="M113" s="361"/>
      <c r="N113" s="361"/>
      <c r="O113" s="361"/>
      <c r="P113" s="362"/>
    </row>
    <row r="114" spans="1:19" ht="14.4" customHeight="1">
      <c r="A114" s="360"/>
      <c r="B114" s="361"/>
      <c r="C114" s="361"/>
      <c r="D114" s="361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2"/>
    </row>
    <row r="115" spans="1:19" ht="14.4" customHeight="1">
      <c r="A115" s="360"/>
      <c r="B115" s="361"/>
      <c r="C115" s="361"/>
      <c r="D115" s="361"/>
      <c r="E115" s="361"/>
      <c r="F115" s="361"/>
      <c r="G115" s="361"/>
      <c r="H115" s="361"/>
      <c r="I115" s="361"/>
      <c r="J115" s="361"/>
      <c r="K115" s="361"/>
      <c r="L115" s="361"/>
      <c r="M115" s="361"/>
      <c r="N115" s="361"/>
      <c r="O115" s="361"/>
      <c r="P115" s="362"/>
    </row>
    <row r="116" spans="1:19" ht="14.4" customHeight="1">
      <c r="A116" s="360"/>
      <c r="B116" s="361"/>
      <c r="C116" s="361"/>
      <c r="D116" s="361"/>
      <c r="E116" s="361"/>
      <c r="F116" s="361"/>
      <c r="G116" s="361"/>
      <c r="H116" s="361"/>
      <c r="I116" s="361"/>
      <c r="J116" s="361"/>
      <c r="K116" s="361"/>
      <c r="L116" s="361"/>
      <c r="M116" s="361"/>
      <c r="N116" s="361"/>
      <c r="O116" s="361"/>
      <c r="P116" s="362"/>
    </row>
    <row r="117" spans="1:19" ht="14.4" customHeight="1">
      <c r="A117" s="360"/>
      <c r="B117" s="361"/>
      <c r="C117" s="361"/>
      <c r="D117" s="361"/>
      <c r="E117" s="361"/>
      <c r="F117" s="361"/>
      <c r="G117" s="361"/>
      <c r="H117" s="361"/>
      <c r="I117" s="361"/>
      <c r="J117" s="361"/>
      <c r="K117" s="361"/>
      <c r="L117" s="361"/>
      <c r="M117" s="361"/>
      <c r="N117" s="361"/>
      <c r="O117" s="361"/>
      <c r="P117" s="362"/>
      <c r="S117" s="7"/>
    </row>
    <row r="118" spans="1:19" ht="14.4" customHeight="1">
      <c r="A118" s="360"/>
      <c r="B118" s="361"/>
      <c r="C118" s="361"/>
      <c r="D118" s="361"/>
      <c r="E118" s="361"/>
      <c r="F118" s="361"/>
      <c r="G118" s="361"/>
      <c r="H118" s="361"/>
      <c r="I118" s="361"/>
      <c r="J118" s="361"/>
      <c r="K118" s="361"/>
      <c r="L118" s="361"/>
      <c r="M118" s="361"/>
      <c r="N118" s="361"/>
      <c r="O118" s="361"/>
      <c r="P118" s="362"/>
    </row>
    <row r="119" spans="1:19" ht="15" customHeight="1" thickBot="1">
      <c r="A119" s="363"/>
      <c r="B119" s="364"/>
      <c r="C119" s="364"/>
      <c r="D119" s="364"/>
      <c r="E119" s="364"/>
      <c r="F119" s="364"/>
      <c r="G119" s="364"/>
      <c r="H119" s="364"/>
      <c r="I119" s="364"/>
      <c r="J119" s="364"/>
      <c r="K119" s="364"/>
      <c r="L119" s="364"/>
      <c r="M119" s="364"/>
      <c r="N119" s="364"/>
      <c r="O119" s="364"/>
      <c r="P119" s="365"/>
    </row>
  </sheetData>
  <mergeCells count="97">
    <mergeCell ref="A111:P119"/>
    <mergeCell ref="B51:B52"/>
    <mergeCell ref="B57:B61"/>
    <mergeCell ref="B66:B67"/>
    <mergeCell ref="A110:F110"/>
    <mergeCell ref="O3:O5"/>
    <mergeCell ref="G4:G5"/>
    <mergeCell ref="I4:I5"/>
    <mergeCell ref="A7:A40"/>
    <mergeCell ref="P37:P40"/>
    <mergeCell ref="D3:D5"/>
    <mergeCell ref="B25:B28"/>
    <mergeCell ref="O37:O38"/>
    <mergeCell ref="N3:N5"/>
    <mergeCell ref="F3:F5"/>
    <mergeCell ref="O109:P109"/>
    <mergeCell ref="B42:B46"/>
    <mergeCell ref="B72:B73"/>
    <mergeCell ref="A107:E107"/>
    <mergeCell ref="B21:B24"/>
    <mergeCell ref="P29:P34"/>
    <mergeCell ref="B62:B65"/>
    <mergeCell ref="K84:K85"/>
    <mergeCell ref="B39:B40"/>
    <mergeCell ref="P12:P16"/>
    <mergeCell ref="B88:B89"/>
    <mergeCell ref="O25:O28"/>
    <mergeCell ref="K86:K87"/>
    <mergeCell ref="B7:B11"/>
    <mergeCell ref="A1:P1"/>
    <mergeCell ref="B12:B16"/>
    <mergeCell ref="I41:I54"/>
    <mergeCell ref="B92:B93"/>
    <mergeCell ref="O23:O24"/>
    <mergeCell ref="H4:H5"/>
    <mergeCell ref="A3:A5"/>
    <mergeCell ref="A41:A69"/>
    <mergeCell ref="K3:L3"/>
    <mergeCell ref="O41:O69"/>
    <mergeCell ref="P7:P11"/>
    <mergeCell ref="A70:A104"/>
    <mergeCell ref="B94:B97"/>
    <mergeCell ref="K70:K83"/>
    <mergeCell ref="B47:B50"/>
    <mergeCell ref="L103:L104"/>
    <mergeCell ref="P3:P5"/>
    <mergeCell ref="P25:P28"/>
    <mergeCell ref="K2:P2"/>
    <mergeCell ref="O108:P108"/>
    <mergeCell ref="B17:B20"/>
    <mergeCell ref="P17:P20"/>
    <mergeCell ref="O29:O34"/>
    <mergeCell ref="B3:B5"/>
    <mergeCell ref="B84:B85"/>
    <mergeCell ref="B53:B54"/>
    <mergeCell ref="A106:E106"/>
    <mergeCell ref="B82:B83"/>
    <mergeCell ref="O35:O36"/>
    <mergeCell ref="P70:P104"/>
    <mergeCell ref="C3:C5"/>
    <mergeCell ref="O21:O22"/>
    <mergeCell ref="A2:D2"/>
    <mergeCell ref="B35:B36"/>
    <mergeCell ref="A108:F108"/>
    <mergeCell ref="M3:M5"/>
    <mergeCell ref="B90:B91"/>
    <mergeCell ref="B68:B69"/>
    <mergeCell ref="B74:B77"/>
    <mergeCell ref="K4:K5"/>
    <mergeCell ref="B29:B34"/>
    <mergeCell ref="G3:H3"/>
    <mergeCell ref="I3:J3"/>
    <mergeCell ref="L88:L102"/>
    <mergeCell ref="O7:O11"/>
    <mergeCell ref="B103:B104"/>
    <mergeCell ref="B78:B81"/>
    <mergeCell ref="O70:O104"/>
    <mergeCell ref="O110:P110"/>
    <mergeCell ref="G110:H110"/>
    <mergeCell ref="I110:J110"/>
    <mergeCell ref="O17:O20"/>
    <mergeCell ref="B98:B100"/>
    <mergeCell ref="O39:O40"/>
    <mergeCell ref="O12:O16"/>
    <mergeCell ref="A109:F109"/>
    <mergeCell ref="K110:L110"/>
    <mergeCell ref="P41:P69"/>
    <mergeCell ref="J4:J5"/>
    <mergeCell ref="L4:L5"/>
    <mergeCell ref="E3:E5"/>
    <mergeCell ref="B37:B38"/>
    <mergeCell ref="J55:J69"/>
    <mergeCell ref="P35:P36"/>
    <mergeCell ref="B86:B87"/>
    <mergeCell ref="P21:P22"/>
    <mergeCell ref="B101:B102"/>
    <mergeCell ref="P23:P24"/>
  </mergeCells>
  <phoneticPr fontId="1" type="noConversion"/>
  <conditionalFormatting sqref="E7:E21">
    <cfRule type="expression" dxfId="26" priority="71">
      <formula>ISTEXT(E7)</formula>
    </cfRule>
  </conditionalFormatting>
  <conditionalFormatting sqref="E23:E45">
    <cfRule type="expression" dxfId="25" priority="5">
      <formula>ISTEXT(E23)</formula>
    </cfRule>
  </conditionalFormatting>
  <conditionalFormatting sqref="E47:E53">
    <cfRule type="expression" dxfId="24" priority="50">
      <formula>ISTEXT(E47)</formula>
    </cfRule>
  </conditionalFormatting>
  <conditionalFormatting sqref="E55:E68">
    <cfRule type="expression" dxfId="23" priority="36">
      <formula>ISTEXT(E55)</formula>
    </cfRule>
  </conditionalFormatting>
  <conditionalFormatting sqref="E71:E72">
    <cfRule type="expression" dxfId="22" priority="32">
      <formula>ISTEXT(E71)</formula>
    </cfRule>
  </conditionalFormatting>
  <conditionalFormatting sqref="E74:E80">
    <cfRule type="expression" dxfId="21" priority="30">
      <formula>ISTEXT(E74)</formula>
    </cfRule>
  </conditionalFormatting>
  <conditionalFormatting sqref="E82">
    <cfRule type="expression" dxfId="20" priority="26">
      <formula>ISTEXT(E82)</formula>
    </cfRule>
  </conditionalFormatting>
  <conditionalFormatting sqref="E86:E88">
    <cfRule type="expression" dxfId="19" priority="1">
      <formula>ISTEXT(E86)</formula>
    </cfRule>
  </conditionalFormatting>
  <conditionalFormatting sqref="E90">
    <cfRule type="expression" dxfId="18" priority="22">
      <formula>ISTEXT(E90)</formula>
    </cfRule>
  </conditionalFormatting>
  <conditionalFormatting sqref="E92">
    <cfRule type="expression" dxfId="17" priority="21">
      <formula>ISTEXT(E92)</formula>
    </cfRule>
  </conditionalFormatting>
  <conditionalFormatting sqref="E94:E96">
    <cfRule type="expression" dxfId="16" priority="20">
      <formula>ISTEXT(E94)</formula>
    </cfRule>
  </conditionalFormatting>
  <conditionalFormatting sqref="E98:E101">
    <cfRule type="expression" dxfId="15" priority="12">
      <formula>ISTEXT(E98)</formula>
    </cfRule>
  </conditionalFormatting>
  <dataValidations disablePrompts="1" xWindow="521" yWindow="482" count="5">
    <dataValidation type="list" allowBlank="1" showInputMessage="1" showErrorMessage="1" sqref="C7:C28 C41:C52 C55:C67 C70:C81 C88:C100" xr:uid="{00000000-0002-0000-0000-000000000000}">
      <formula1>과목유형</formula1>
    </dataValidation>
    <dataValidation type="list" allowBlank="1" showInputMessage="1" showErrorMessage="1" sqref="C29:C40 C53:C54 C68:C69 C82:C87 C101:C105" xr:uid="{00000000-0002-0000-0000-000001000000}">
      <formula1>과목유형2</formula1>
    </dataValidation>
    <dataValidation type="list" allowBlank="1" showInputMessage="1" sqref="M7:M105 N105" xr:uid="{00000000-0002-0000-0000-000002000000}">
      <formula1>비고</formula1>
    </dataValidation>
    <dataValidation type="list" allowBlank="1" showInputMessage="1" showErrorMessage="1" sqref="B7:B37 B39:B51 B53:B66 B68:B84 B86:B103 B105" xr:uid="{00000000-0002-0000-0000-000003000000}">
      <formula1>교과군</formula1>
    </dataValidation>
    <dataValidation type="list" allowBlank="1" showInputMessage="1" sqref="N7:N104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12" scale="60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5"/>
  <sheetViews>
    <sheetView topLeftCell="A19" zoomScale="115" zoomScaleNormal="115" zoomScaleSheetLayoutView="100" workbookViewId="0">
      <selection activeCell="J44" sqref="J44"/>
    </sheetView>
  </sheetViews>
  <sheetFormatPr defaultRowHeight="14.15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64062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6640625" customWidth="1"/>
    <col min="252" max="259" width="5.796875" customWidth="1"/>
    <col min="260" max="260" width="7.06640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6640625" customWidth="1"/>
    <col min="508" max="515" width="5.796875" customWidth="1"/>
    <col min="516" max="516" width="7.06640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6640625" customWidth="1"/>
    <col min="764" max="771" width="5.796875" customWidth="1"/>
    <col min="772" max="772" width="7.06640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6640625" customWidth="1"/>
    <col min="1020" max="1027" width="5.796875" customWidth="1"/>
    <col min="1028" max="1028" width="7.06640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6640625" customWidth="1"/>
    <col min="1276" max="1283" width="5.796875" customWidth="1"/>
    <col min="1284" max="1284" width="7.06640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6640625" customWidth="1"/>
    <col min="1532" max="1539" width="5.796875" customWidth="1"/>
    <col min="1540" max="1540" width="7.06640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6640625" customWidth="1"/>
    <col min="1788" max="1795" width="5.796875" customWidth="1"/>
    <col min="1796" max="1796" width="7.06640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6640625" customWidth="1"/>
    <col min="2044" max="2051" width="5.796875" customWidth="1"/>
    <col min="2052" max="2052" width="7.06640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6640625" customWidth="1"/>
    <col min="2300" max="2307" width="5.796875" customWidth="1"/>
    <col min="2308" max="2308" width="7.06640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6640625" customWidth="1"/>
    <col min="2556" max="2563" width="5.796875" customWidth="1"/>
    <col min="2564" max="2564" width="7.06640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6640625" customWidth="1"/>
    <col min="2812" max="2819" width="5.796875" customWidth="1"/>
    <col min="2820" max="2820" width="7.06640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6640625" customWidth="1"/>
    <col min="3068" max="3075" width="5.796875" customWidth="1"/>
    <col min="3076" max="3076" width="7.06640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6640625" customWidth="1"/>
    <col min="3324" max="3331" width="5.796875" customWidth="1"/>
    <col min="3332" max="3332" width="7.06640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6640625" customWidth="1"/>
    <col min="3580" max="3587" width="5.796875" customWidth="1"/>
    <col min="3588" max="3588" width="7.06640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6640625" customWidth="1"/>
    <col min="3836" max="3843" width="5.796875" customWidth="1"/>
    <col min="3844" max="3844" width="7.06640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6640625" customWidth="1"/>
    <col min="4092" max="4099" width="5.796875" customWidth="1"/>
    <col min="4100" max="4100" width="7.06640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6640625" customWidth="1"/>
    <col min="4348" max="4355" width="5.796875" customWidth="1"/>
    <col min="4356" max="4356" width="7.06640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6640625" customWidth="1"/>
    <col min="4604" max="4611" width="5.796875" customWidth="1"/>
    <col min="4612" max="4612" width="7.06640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6640625" customWidth="1"/>
    <col min="4860" max="4867" width="5.796875" customWidth="1"/>
    <col min="4868" max="4868" width="7.06640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6640625" customWidth="1"/>
    <col min="5116" max="5123" width="5.796875" customWidth="1"/>
    <col min="5124" max="5124" width="7.06640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6640625" customWidth="1"/>
    <col min="5372" max="5379" width="5.796875" customWidth="1"/>
    <col min="5380" max="5380" width="7.06640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6640625" customWidth="1"/>
    <col min="5628" max="5635" width="5.796875" customWidth="1"/>
    <col min="5636" max="5636" width="7.06640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6640625" customWidth="1"/>
    <col min="5884" max="5891" width="5.796875" customWidth="1"/>
    <col min="5892" max="5892" width="7.06640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6640625" customWidth="1"/>
    <col min="6140" max="6147" width="5.796875" customWidth="1"/>
    <col min="6148" max="6148" width="7.06640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6640625" customWidth="1"/>
    <col min="6396" max="6403" width="5.796875" customWidth="1"/>
    <col min="6404" max="6404" width="7.06640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6640625" customWidth="1"/>
    <col min="6652" max="6659" width="5.796875" customWidth="1"/>
    <col min="6660" max="6660" width="7.06640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6640625" customWidth="1"/>
    <col min="6908" max="6915" width="5.796875" customWidth="1"/>
    <col min="6916" max="6916" width="7.06640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6640625" customWidth="1"/>
    <col min="7164" max="7171" width="5.796875" customWidth="1"/>
    <col min="7172" max="7172" width="7.06640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6640625" customWidth="1"/>
    <col min="7420" max="7427" width="5.796875" customWidth="1"/>
    <col min="7428" max="7428" width="7.06640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6640625" customWidth="1"/>
    <col min="7676" max="7683" width="5.796875" customWidth="1"/>
    <col min="7684" max="7684" width="7.06640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6640625" customWidth="1"/>
    <col min="7932" max="7939" width="5.796875" customWidth="1"/>
    <col min="7940" max="7940" width="7.06640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6640625" customWidth="1"/>
    <col min="8188" max="8195" width="5.796875" customWidth="1"/>
    <col min="8196" max="8196" width="7.06640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6640625" customWidth="1"/>
    <col min="8444" max="8451" width="5.796875" customWidth="1"/>
    <col min="8452" max="8452" width="7.06640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6640625" customWidth="1"/>
    <col min="8700" max="8707" width="5.796875" customWidth="1"/>
    <col min="8708" max="8708" width="7.06640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6640625" customWidth="1"/>
    <col min="8956" max="8963" width="5.796875" customWidth="1"/>
    <col min="8964" max="8964" width="7.06640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6640625" customWidth="1"/>
    <col min="9212" max="9219" width="5.796875" customWidth="1"/>
    <col min="9220" max="9220" width="7.06640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6640625" customWidth="1"/>
    <col min="9468" max="9475" width="5.796875" customWidth="1"/>
    <col min="9476" max="9476" width="7.06640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6640625" customWidth="1"/>
    <col min="9724" max="9731" width="5.796875" customWidth="1"/>
    <col min="9732" max="9732" width="7.06640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6640625" customWidth="1"/>
    <col min="9980" max="9987" width="5.796875" customWidth="1"/>
    <col min="9988" max="9988" width="7.06640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6640625" customWidth="1"/>
    <col min="10236" max="10243" width="5.796875" customWidth="1"/>
    <col min="10244" max="10244" width="7.06640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6640625" customWidth="1"/>
    <col min="10492" max="10499" width="5.796875" customWidth="1"/>
    <col min="10500" max="10500" width="7.06640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6640625" customWidth="1"/>
    <col min="10748" max="10755" width="5.796875" customWidth="1"/>
    <col min="10756" max="10756" width="7.06640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6640625" customWidth="1"/>
    <col min="11004" max="11011" width="5.796875" customWidth="1"/>
    <col min="11012" max="11012" width="7.06640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6640625" customWidth="1"/>
    <col min="11260" max="11267" width="5.796875" customWidth="1"/>
    <col min="11268" max="11268" width="7.06640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6640625" customWidth="1"/>
    <col min="11516" max="11523" width="5.796875" customWidth="1"/>
    <col min="11524" max="11524" width="7.06640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6640625" customWidth="1"/>
    <col min="11772" max="11779" width="5.796875" customWidth="1"/>
    <col min="11780" max="11780" width="7.06640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6640625" customWidth="1"/>
    <col min="12028" max="12035" width="5.796875" customWidth="1"/>
    <col min="12036" max="12036" width="7.06640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6640625" customWidth="1"/>
    <col min="12284" max="12291" width="5.796875" customWidth="1"/>
    <col min="12292" max="12292" width="7.06640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6640625" customWidth="1"/>
    <col min="12540" max="12547" width="5.796875" customWidth="1"/>
    <col min="12548" max="12548" width="7.06640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6640625" customWidth="1"/>
    <col min="12796" max="12803" width="5.796875" customWidth="1"/>
    <col min="12804" max="12804" width="7.06640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6640625" customWidth="1"/>
    <col min="13052" max="13059" width="5.796875" customWidth="1"/>
    <col min="13060" max="13060" width="7.06640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6640625" customWidth="1"/>
    <col min="13308" max="13315" width="5.796875" customWidth="1"/>
    <col min="13316" max="13316" width="7.06640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6640625" customWidth="1"/>
    <col min="13564" max="13571" width="5.796875" customWidth="1"/>
    <col min="13572" max="13572" width="7.06640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6640625" customWidth="1"/>
    <col min="13820" max="13827" width="5.796875" customWidth="1"/>
    <col min="13828" max="13828" width="7.06640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6640625" customWidth="1"/>
    <col min="14076" max="14083" width="5.796875" customWidth="1"/>
    <col min="14084" max="14084" width="7.06640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6640625" customWidth="1"/>
    <col min="14332" max="14339" width="5.796875" customWidth="1"/>
    <col min="14340" max="14340" width="7.06640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6640625" customWidth="1"/>
    <col min="14588" max="14595" width="5.796875" customWidth="1"/>
    <col min="14596" max="14596" width="7.06640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6640625" customWidth="1"/>
    <col min="14844" max="14851" width="5.796875" customWidth="1"/>
    <col min="14852" max="14852" width="7.06640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6640625" customWidth="1"/>
    <col min="15100" max="15107" width="5.796875" customWidth="1"/>
    <col min="15108" max="15108" width="7.06640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6640625" customWidth="1"/>
    <col min="15356" max="15363" width="5.796875" customWidth="1"/>
    <col min="15364" max="15364" width="7.06640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6640625" customWidth="1"/>
    <col min="15612" max="15619" width="5.796875" customWidth="1"/>
    <col min="15620" max="15620" width="7.06640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6640625" customWidth="1"/>
    <col min="15868" max="15875" width="5.796875" customWidth="1"/>
    <col min="15876" max="15876" width="7.06640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6640625" customWidth="1"/>
    <col min="16124" max="16131" width="5.796875" customWidth="1"/>
    <col min="16132" max="16132" width="7.06640625" customWidth="1"/>
    <col min="16133" max="16134" width="5.796875" customWidth="1"/>
    <col min="16135" max="16135" width="6" customWidth="1"/>
  </cols>
  <sheetData>
    <row r="1" spans="1:16" ht="47.25" customHeight="1">
      <c r="A1" s="394" t="s">
        <v>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</row>
    <row r="2" spans="1:16" ht="29.25" customHeight="1" thickBot="1">
      <c r="A2" s="413" t="s">
        <v>130</v>
      </c>
      <c r="B2" s="364"/>
      <c r="C2" s="364"/>
      <c r="D2" s="364"/>
      <c r="E2" s="185"/>
      <c r="F2" s="3"/>
      <c r="G2" s="2"/>
      <c r="H2" s="2"/>
      <c r="I2" s="2"/>
      <c r="J2" s="2"/>
      <c r="K2" s="391"/>
      <c r="L2" s="364"/>
      <c r="M2" s="364"/>
      <c r="N2" s="364"/>
      <c r="O2" s="364"/>
      <c r="P2" s="364"/>
    </row>
    <row r="3" spans="1:16" ht="16.5" customHeight="1">
      <c r="A3" s="396" t="s">
        <v>1</v>
      </c>
      <c r="B3" s="393" t="s">
        <v>2</v>
      </c>
      <c r="C3" s="375" t="s">
        <v>3</v>
      </c>
      <c r="D3" s="375" t="s">
        <v>4</v>
      </c>
      <c r="E3" s="375" t="s">
        <v>5</v>
      </c>
      <c r="F3" s="375" t="s">
        <v>6</v>
      </c>
      <c r="G3" s="398" t="s">
        <v>7</v>
      </c>
      <c r="H3" s="383"/>
      <c r="I3" s="398" t="s">
        <v>8</v>
      </c>
      <c r="J3" s="383"/>
      <c r="K3" s="398" t="s">
        <v>9</v>
      </c>
      <c r="L3" s="383"/>
      <c r="M3" s="375" t="s">
        <v>10</v>
      </c>
      <c r="N3" s="407" t="s">
        <v>11</v>
      </c>
      <c r="O3" s="375" t="s">
        <v>12</v>
      </c>
      <c r="P3" s="390" t="s">
        <v>13</v>
      </c>
    </row>
    <row r="4" spans="1:16" ht="14.4" customHeight="1">
      <c r="A4" s="388"/>
      <c r="B4" s="352"/>
      <c r="C4" s="376"/>
      <c r="D4" s="376"/>
      <c r="E4" s="376"/>
      <c r="F4" s="376"/>
      <c r="G4" s="404" t="s">
        <v>14</v>
      </c>
      <c r="H4" s="370" t="s">
        <v>15</v>
      </c>
      <c r="I4" s="404" t="s">
        <v>14</v>
      </c>
      <c r="J4" s="370" t="s">
        <v>15</v>
      </c>
      <c r="K4" s="404" t="s">
        <v>14</v>
      </c>
      <c r="L4" s="370" t="s">
        <v>15</v>
      </c>
      <c r="M4" s="376"/>
      <c r="N4" s="408"/>
      <c r="O4" s="376"/>
      <c r="P4" s="349"/>
    </row>
    <row r="5" spans="1:16" ht="14.4" customHeight="1" thickBot="1">
      <c r="A5" s="397"/>
      <c r="B5" s="373"/>
      <c r="C5" s="377"/>
      <c r="D5" s="377"/>
      <c r="E5" s="377"/>
      <c r="F5" s="377"/>
      <c r="G5" s="405"/>
      <c r="H5" s="371"/>
      <c r="I5" s="405"/>
      <c r="J5" s="371"/>
      <c r="K5" s="405"/>
      <c r="L5" s="371"/>
      <c r="M5" s="377"/>
      <c r="N5" s="409"/>
      <c r="O5" s="377"/>
      <c r="P5" s="350"/>
    </row>
    <row r="6" spans="1:16" ht="14.4" hidden="1" customHeight="1" thickBot="1">
      <c r="A6" s="109"/>
      <c r="B6" s="110"/>
      <c r="C6" s="128"/>
      <c r="D6" s="108"/>
      <c r="G6" s="127"/>
      <c r="H6" s="129"/>
      <c r="I6" s="130"/>
      <c r="J6" s="129"/>
      <c r="K6" s="130"/>
      <c r="L6" s="155"/>
      <c r="M6" s="156"/>
      <c r="N6" s="169"/>
      <c r="O6" s="111"/>
      <c r="P6" s="112"/>
    </row>
    <row r="7" spans="1:16" ht="15.65" customHeight="1" thickBot="1">
      <c r="A7" s="414" t="s">
        <v>16</v>
      </c>
      <c r="B7" s="351" t="s">
        <v>17</v>
      </c>
      <c r="C7" s="113" t="s">
        <v>18</v>
      </c>
      <c r="D7" s="190" t="s">
        <v>19</v>
      </c>
      <c r="E7" s="118">
        <f t="shared" ref="E7:E38" si="0">IFERROR(VLOOKUP(D7, 기본학점, 2, FALSE), "")</f>
        <v>4</v>
      </c>
      <c r="F7" s="119">
        <v>4</v>
      </c>
      <c r="G7" s="211">
        <v>3</v>
      </c>
      <c r="H7" s="212"/>
      <c r="I7" s="74"/>
      <c r="J7" s="73"/>
      <c r="K7" s="74"/>
      <c r="L7" s="75"/>
      <c r="M7" s="189"/>
      <c r="N7" s="170"/>
      <c r="O7" s="421">
        <f>SUM(F7:F11)</f>
        <v>20</v>
      </c>
      <c r="P7" s="389">
        <v>8</v>
      </c>
    </row>
    <row r="8" spans="1:16" ht="15.65" customHeight="1">
      <c r="A8" s="388"/>
      <c r="B8" s="352"/>
      <c r="C8" s="215" t="s">
        <v>18</v>
      </c>
      <c r="D8" s="192" t="s">
        <v>20</v>
      </c>
      <c r="E8" s="204">
        <f t="shared" si="0"/>
        <v>4</v>
      </c>
      <c r="F8" s="163">
        <v>4</v>
      </c>
      <c r="G8" s="137"/>
      <c r="H8" s="141">
        <v>3</v>
      </c>
      <c r="I8" s="77"/>
      <c r="J8" s="76"/>
      <c r="K8" s="77"/>
      <c r="L8" s="78"/>
      <c r="M8" s="191"/>
      <c r="N8" s="170"/>
      <c r="O8" s="376"/>
      <c r="P8" s="349"/>
    </row>
    <row r="9" spans="1:16" ht="15.65" customHeight="1">
      <c r="A9" s="388"/>
      <c r="B9" s="352"/>
      <c r="C9" s="215" t="s">
        <v>21</v>
      </c>
      <c r="D9" s="192" t="s">
        <v>22</v>
      </c>
      <c r="E9" s="204">
        <f t="shared" si="0"/>
        <v>4</v>
      </c>
      <c r="F9" s="163">
        <v>4</v>
      </c>
      <c r="G9" s="137"/>
      <c r="H9" s="141"/>
      <c r="I9" s="77">
        <v>4</v>
      </c>
      <c r="J9" s="76"/>
      <c r="K9" s="77"/>
      <c r="L9" s="78"/>
      <c r="M9" s="191"/>
      <c r="N9" s="170"/>
      <c r="O9" s="376"/>
      <c r="P9" s="349"/>
    </row>
    <row r="10" spans="1:16" ht="15.65" customHeight="1">
      <c r="A10" s="388"/>
      <c r="B10" s="352"/>
      <c r="C10" s="215" t="s">
        <v>21</v>
      </c>
      <c r="D10" s="192" t="s">
        <v>23</v>
      </c>
      <c r="E10" s="183">
        <f t="shared" si="0"/>
        <v>4</v>
      </c>
      <c r="F10" s="119">
        <v>4</v>
      </c>
      <c r="G10" s="137"/>
      <c r="H10" s="141"/>
      <c r="I10" s="77"/>
      <c r="J10" s="76">
        <v>4</v>
      </c>
      <c r="K10" s="77"/>
      <c r="L10" s="78"/>
      <c r="M10" s="191"/>
      <c r="N10" s="170"/>
      <c r="O10" s="376"/>
      <c r="P10" s="349"/>
    </row>
    <row r="11" spans="1:16" ht="15.65" customHeight="1">
      <c r="A11" s="388"/>
      <c r="B11" s="352"/>
      <c r="C11" s="215" t="s">
        <v>21</v>
      </c>
      <c r="D11" s="192" t="s">
        <v>24</v>
      </c>
      <c r="E11" s="204">
        <f t="shared" si="0"/>
        <v>4</v>
      </c>
      <c r="F11" s="163">
        <v>4</v>
      </c>
      <c r="G11" s="137"/>
      <c r="H11" s="141"/>
      <c r="I11" s="77"/>
      <c r="J11" s="76"/>
      <c r="K11" s="77">
        <v>4</v>
      </c>
      <c r="L11" s="78"/>
      <c r="M11" s="191"/>
      <c r="N11" s="170"/>
      <c r="O11" s="376"/>
      <c r="P11" s="349"/>
    </row>
    <row r="12" spans="1:16" ht="15.65" customHeight="1">
      <c r="A12" s="388"/>
      <c r="B12" s="368" t="s">
        <v>25</v>
      </c>
      <c r="C12" s="79" t="s">
        <v>18</v>
      </c>
      <c r="D12" s="194" t="s">
        <v>26</v>
      </c>
      <c r="E12" s="216">
        <f t="shared" si="0"/>
        <v>4</v>
      </c>
      <c r="F12" s="158">
        <v>4</v>
      </c>
      <c r="G12" s="120">
        <v>4</v>
      </c>
      <c r="H12" s="142"/>
      <c r="I12" s="81"/>
      <c r="J12" s="80"/>
      <c r="K12" s="120"/>
      <c r="L12" s="142"/>
      <c r="M12" s="195"/>
      <c r="N12" s="172"/>
      <c r="O12" s="423">
        <f>SUM(F12:F16)</f>
        <v>19</v>
      </c>
      <c r="P12" s="420">
        <v>8</v>
      </c>
    </row>
    <row r="13" spans="1:16" ht="15.65" customHeight="1">
      <c r="A13" s="388"/>
      <c r="B13" s="352"/>
      <c r="C13" s="157" t="s">
        <v>18</v>
      </c>
      <c r="D13" s="192" t="s">
        <v>27</v>
      </c>
      <c r="E13" s="204">
        <f t="shared" si="0"/>
        <v>4</v>
      </c>
      <c r="F13" s="184">
        <v>4</v>
      </c>
      <c r="G13" s="122"/>
      <c r="H13" s="141">
        <v>4</v>
      </c>
      <c r="I13" s="77"/>
      <c r="J13" s="76"/>
      <c r="K13" s="122"/>
      <c r="L13" s="141"/>
      <c r="M13" s="191"/>
      <c r="N13" s="170"/>
      <c r="O13" s="408"/>
      <c r="P13" s="349"/>
    </row>
    <row r="14" spans="1:16" ht="15.65" customHeight="1">
      <c r="A14" s="388"/>
      <c r="B14" s="352"/>
      <c r="C14" s="157" t="s">
        <v>21</v>
      </c>
      <c r="D14" s="192" t="s">
        <v>28</v>
      </c>
      <c r="E14" s="204">
        <f t="shared" si="0"/>
        <v>4</v>
      </c>
      <c r="F14" s="163">
        <v>4</v>
      </c>
      <c r="G14" s="122"/>
      <c r="H14" s="141"/>
      <c r="I14" s="77">
        <v>4</v>
      </c>
      <c r="J14" s="76"/>
      <c r="K14" s="122"/>
      <c r="L14" s="141"/>
      <c r="M14" s="191"/>
      <c r="N14" s="170"/>
      <c r="O14" s="408"/>
      <c r="P14" s="349"/>
    </row>
    <row r="15" spans="1:16" ht="15.65" customHeight="1">
      <c r="A15" s="388"/>
      <c r="B15" s="352"/>
      <c r="C15" s="157" t="s">
        <v>21</v>
      </c>
      <c r="D15" s="192" t="s">
        <v>29</v>
      </c>
      <c r="E15" s="183">
        <f t="shared" si="0"/>
        <v>4</v>
      </c>
      <c r="F15" s="119">
        <v>4</v>
      </c>
      <c r="G15" s="122"/>
      <c r="H15" s="141"/>
      <c r="I15" s="77"/>
      <c r="J15" s="76">
        <v>4</v>
      </c>
      <c r="K15" s="122"/>
      <c r="L15" s="141"/>
      <c r="M15" s="191"/>
      <c r="N15" s="170"/>
      <c r="O15" s="408"/>
      <c r="P15" s="349"/>
    </row>
    <row r="16" spans="1:16" ht="15.65" customHeight="1">
      <c r="A16" s="388"/>
      <c r="B16" s="352"/>
      <c r="C16" s="157" t="s">
        <v>21</v>
      </c>
      <c r="D16" s="192" t="s">
        <v>30</v>
      </c>
      <c r="E16" s="204">
        <f t="shared" si="0"/>
        <v>4</v>
      </c>
      <c r="F16" s="163">
        <v>3</v>
      </c>
      <c r="G16" s="122"/>
      <c r="H16" s="141"/>
      <c r="I16" s="77"/>
      <c r="J16" s="76"/>
      <c r="K16" s="122">
        <v>4</v>
      </c>
      <c r="L16" s="141"/>
      <c r="M16" s="191"/>
      <c r="N16" s="170"/>
      <c r="O16" s="408"/>
      <c r="P16" s="349"/>
    </row>
    <row r="17" spans="1:20" ht="15.65" customHeight="1">
      <c r="A17" s="388"/>
      <c r="B17" s="368" t="s">
        <v>31</v>
      </c>
      <c r="C17" s="79" t="s">
        <v>18</v>
      </c>
      <c r="D17" s="194" t="s">
        <v>32</v>
      </c>
      <c r="E17" s="216">
        <f t="shared" si="0"/>
        <v>4</v>
      </c>
      <c r="F17" s="161">
        <v>4</v>
      </c>
      <c r="G17" s="136">
        <v>3</v>
      </c>
      <c r="H17" s="142"/>
      <c r="I17" s="81"/>
      <c r="J17" s="80"/>
      <c r="K17" s="81"/>
      <c r="L17" s="80"/>
      <c r="M17" s="195"/>
      <c r="N17" s="172"/>
      <c r="O17" s="422">
        <f>SUM(F17:F20)</f>
        <v>16</v>
      </c>
      <c r="P17" s="420">
        <v>8</v>
      </c>
    </row>
    <row r="18" spans="1:20" ht="15.65" customHeight="1">
      <c r="A18" s="388"/>
      <c r="B18" s="352"/>
      <c r="C18" s="157" t="s">
        <v>18</v>
      </c>
      <c r="D18" s="192" t="s">
        <v>33</v>
      </c>
      <c r="E18" s="204">
        <f t="shared" si="0"/>
        <v>4</v>
      </c>
      <c r="F18" s="163">
        <v>4</v>
      </c>
      <c r="G18" s="137"/>
      <c r="H18" s="141">
        <v>3</v>
      </c>
      <c r="I18" s="77"/>
      <c r="J18" s="76"/>
      <c r="K18" s="77"/>
      <c r="L18" s="76"/>
      <c r="M18" s="191"/>
      <c r="N18" s="170"/>
      <c r="O18" s="408"/>
      <c r="P18" s="349"/>
    </row>
    <row r="19" spans="1:20" ht="15.65" customHeight="1">
      <c r="A19" s="388"/>
      <c r="B19" s="352"/>
      <c r="C19" s="157" t="s">
        <v>21</v>
      </c>
      <c r="D19" s="192" t="s">
        <v>34</v>
      </c>
      <c r="E19" s="204">
        <f t="shared" si="0"/>
        <v>4</v>
      </c>
      <c r="F19" s="163">
        <v>4</v>
      </c>
      <c r="G19" s="137"/>
      <c r="H19" s="141"/>
      <c r="I19" s="77">
        <v>4</v>
      </c>
      <c r="J19" s="76"/>
      <c r="K19" s="77"/>
      <c r="L19" s="76"/>
      <c r="M19" s="191"/>
      <c r="N19" s="170"/>
      <c r="O19" s="408"/>
      <c r="P19" s="349"/>
    </row>
    <row r="20" spans="1:20" ht="15.65" customHeight="1">
      <c r="A20" s="388"/>
      <c r="B20" s="352"/>
      <c r="C20" s="157" t="s">
        <v>21</v>
      </c>
      <c r="D20" s="192" t="s">
        <v>35</v>
      </c>
      <c r="E20" s="204">
        <f t="shared" si="0"/>
        <v>4</v>
      </c>
      <c r="F20" s="163">
        <v>4</v>
      </c>
      <c r="G20" s="137"/>
      <c r="H20" s="141"/>
      <c r="I20" s="77"/>
      <c r="J20" s="76">
        <v>4</v>
      </c>
      <c r="K20" s="77"/>
      <c r="L20" s="76"/>
      <c r="M20" s="191"/>
      <c r="N20" s="170"/>
      <c r="O20" s="408"/>
      <c r="P20" s="349"/>
    </row>
    <row r="21" spans="1:20" ht="15.65" customHeight="1">
      <c r="A21" s="388"/>
      <c r="B21" s="368" t="s">
        <v>36</v>
      </c>
      <c r="C21" s="116" t="s">
        <v>18</v>
      </c>
      <c r="D21" s="194" t="s">
        <v>37</v>
      </c>
      <c r="E21" s="216">
        <f t="shared" si="0"/>
        <v>3</v>
      </c>
      <c r="F21" s="161">
        <v>3</v>
      </c>
      <c r="G21" s="136">
        <v>3</v>
      </c>
      <c r="H21" s="142"/>
      <c r="I21" s="81"/>
      <c r="J21" s="80"/>
      <c r="K21" s="81"/>
      <c r="L21" s="82"/>
      <c r="M21" s="195"/>
      <c r="N21" s="172"/>
      <c r="O21" s="426">
        <f>SUM(F21:F22)</f>
        <v>6</v>
      </c>
      <c r="P21" s="386">
        <v>6</v>
      </c>
    </row>
    <row r="22" spans="1:20" ht="15.65" customHeight="1">
      <c r="A22" s="388"/>
      <c r="B22" s="352"/>
      <c r="C22" s="115" t="s">
        <v>18</v>
      </c>
      <c r="D22" s="196" t="s">
        <v>38</v>
      </c>
      <c r="E22" s="183">
        <f t="shared" si="0"/>
        <v>3</v>
      </c>
      <c r="F22" s="160">
        <v>3</v>
      </c>
      <c r="G22" s="138"/>
      <c r="H22" s="143">
        <v>3</v>
      </c>
      <c r="I22" s="84"/>
      <c r="J22" s="83"/>
      <c r="K22" s="84"/>
      <c r="L22" s="83"/>
      <c r="M22" s="196"/>
      <c r="N22" s="115"/>
      <c r="O22" s="427"/>
      <c r="P22" s="367"/>
    </row>
    <row r="23" spans="1:20" ht="15.65" customHeight="1">
      <c r="A23" s="388"/>
      <c r="B23" s="352"/>
      <c r="C23" s="79" t="s">
        <v>18</v>
      </c>
      <c r="D23" s="194" t="s">
        <v>39</v>
      </c>
      <c r="E23" s="216">
        <f t="shared" si="0"/>
        <v>4</v>
      </c>
      <c r="F23" s="161">
        <v>4</v>
      </c>
      <c r="G23" s="136">
        <v>4</v>
      </c>
      <c r="H23" s="142"/>
      <c r="I23" s="81"/>
      <c r="J23" s="80"/>
      <c r="K23" s="81"/>
      <c r="L23" s="82"/>
      <c r="M23" s="195"/>
      <c r="N23" s="79"/>
      <c r="O23" s="422">
        <f>SUM(F23:F24)</f>
        <v>8</v>
      </c>
      <c r="P23" s="420">
        <v>8</v>
      </c>
    </row>
    <row r="24" spans="1:20" ht="15.65" customHeight="1">
      <c r="A24" s="388"/>
      <c r="B24" s="352"/>
      <c r="C24" s="157" t="s">
        <v>18</v>
      </c>
      <c r="D24" s="192" t="s">
        <v>40</v>
      </c>
      <c r="E24" s="204">
        <f t="shared" si="0"/>
        <v>4</v>
      </c>
      <c r="F24" s="163">
        <v>4</v>
      </c>
      <c r="G24" s="137"/>
      <c r="H24" s="141">
        <v>4</v>
      </c>
      <c r="I24" s="77"/>
      <c r="J24" s="76"/>
      <c r="K24" s="77"/>
      <c r="L24" s="78"/>
      <c r="M24" s="191"/>
      <c r="N24" s="157"/>
      <c r="O24" s="408"/>
      <c r="P24" s="349"/>
    </row>
    <row r="25" spans="1:20" ht="15.65" customHeight="1">
      <c r="A25" s="388"/>
      <c r="B25" s="368" t="s">
        <v>41</v>
      </c>
      <c r="C25" s="79" t="s">
        <v>18</v>
      </c>
      <c r="D25" s="194" t="s">
        <v>42</v>
      </c>
      <c r="E25" s="216">
        <f t="shared" si="0"/>
        <v>4</v>
      </c>
      <c r="F25" s="161">
        <v>4</v>
      </c>
      <c r="G25" s="136">
        <v>4</v>
      </c>
      <c r="H25" s="142"/>
      <c r="I25" s="81"/>
      <c r="J25" s="80"/>
      <c r="K25" s="87"/>
      <c r="L25" s="88"/>
      <c r="M25" s="195"/>
      <c r="N25" s="79"/>
      <c r="O25" s="422">
        <f>SUM(F25:F28)</f>
        <v>10</v>
      </c>
      <c r="P25" s="420">
        <v>10</v>
      </c>
    </row>
    <row r="26" spans="1:20" ht="15.65" customHeight="1">
      <c r="A26" s="388"/>
      <c r="B26" s="352"/>
      <c r="C26" s="114" t="s">
        <v>18</v>
      </c>
      <c r="D26" s="192" t="s">
        <v>43</v>
      </c>
      <c r="E26" s="204">
        <f t="shared" si="0"/>
        <v>4</v>
      </c>
      <c r="F26" s="163">
        <v>4</v>
      </c>
      <c r="G26" s="137"/>
      <c r="H26" s="141">
        <v>4</v>
      </c>
      <c r="I26" s="77"/>
      <c r="J26" s="76"/>
      <c r="K26" s="89"/>
      <c r="L26" s="90"/>
      <c r="M26" s="191"/>
      <c r="N26" s="170"/>
      <c r="O26" s="408"/>
      <c r="P26" s="349"/>
    </row>
    <row r="27" spans="1:20" ht="15.65" customHeight="1">
      <c r="A27" s="388"/>
      <c r="B27" s="352"/>
      <c r="C27" s="157" t="s">
        <v>18</v>
      </c>
      <c r="D27" s="192" t="s">
        <v>44</v>
      </c>
      <c r="E27" s="204">
        <f t="shared" si="0"/>
        <v>1</v>
      </c>
      <c r="F27" s="163">
        <v>1</v>
      </c>
      <c r="G27" s="137">
        <v>1</v>
      </c>
      <c r="H27" s="141"/>
      <c r="I27" s="77"/>
      <c r="J27" s="76"/>
      <c r="K27" s="89"/>
      <c r="L27" s="90"/>
      <c r="M27" s="191"/>
      <c r="N27" s="170"/>
      <c r="O27" s="408"/>
      <c r="P27" s="349"/>
    </row>
    <row r="28" spans="1:20" ht="15.65" customHeight="1">
      <c r="A28" s="388"/>
      <c r="B28" s="352"/>
      <c r="C28" s="157" t="s">
        <v>18</v>
      </c>
      <c r="D28" s="192" t="s">
        <v>45</v>
      </c>
      <c r="E28" s="204">
        <f t="shared" si="0"/>
        <v>1</v>
      </c>
      <c r="F28" s="163">
        <v>1</v>
      </c>
      <c r="G28" s="137"/>
      <c r="H28" s="141">
        <v>1</v>
      </c>
      <c r="I28" s="77"/>
      <c r="J28" s="76"/>
      <c r="K28" s="89"/>
      <c r="L28" s="90"/>
      <c r="M28" s="191"/>
      <c r="N28" s="170"/>
      <c r="O28" s="408"/>
      <c r="P28" s="349"/>
    </row>
    <row r="29" spans="1:20" ht="15.65" customHeight="1">
      <c r="A29" s="388"/>
      <c r="B29" s="368" t="s">
        <v>50</v>
      </c>
      <c r="C29" s="79" t="s">
        <v>21</v>
      </c>
      <c r="D29" s="194" t="s">
        <v>51</v>
      </c>
      <c r="E29" s="216">
        <f t="shared" si="0"/>
        <v>3</v>
      </c>
      <c r="F29" s="158">
        <v>2</v>
      </c>
      <c r="G29" s="120">
        <v>2</v>
      </c>
      <c r="H29" s="142"/>
      <c r="I29" s="81"/>
      <c r="J29" s="80"/>
      <c r="K29" s="81"/>
      <c r="L29" s="82"/>
      <c r="M29" s="195"/>
      <c r="N29" s="79"/>
      <c r="O29" s="422">
        <f>SUM(F29:F34)</f>
        <v>10</v>
      </c>
      <c r="P29" s="420">
        <v>10</v>
      </c>
      <c r="R29" s="6"/>
      <c r="S29" s="6"/>
      <c r="T29" s="6"/>
    </row>
    <row r="30" spans="1:20" ht="15.65" customHeight="1">
      <c r="A30" s="388"/>
      <c r="B30" s="352"/>
      <c r="C30" s="157" t="s">
        <v>21</v>
      </c>
      <c r="D30" s="192" t="s">
        <v>52</v>
      </c>
      <c r="E30" s="204">
        <f t="shared" si="0"/>
        <v>3</v>
      </c>
      <c r="F30" s="163">
        <v>2</v>
      </c>
      <c r="G30" s="122"/>
      <c r="H30" s="141">
        <v>2</v>
      </c>
      <c r="I30" s="77"/>
      <c r="J30" s="76"/>
      <c r="K30" s="77"/>
      <c r="L30" s="78"/>
      <c r="M30" s="191"/>
      <c r="N30" s="170"/>
      <c r="O30" s="408"/>
      <c r="P30" s="349"/>
      <c r="R30" s="6"/>
      <c r="S30" s="6"/>
      <c r="T30" s="6"/>
    </row>
    <row r="31" spans="1:20" ht="15.65" customHeight="1">
      <c r="A31" s="388"/>
      <c r="B31" s="352"/>
      <c r="C31" s="157" t="s">
        <v>53</v>
      </c>
      <c r="D31" s="192" t="s">
        <v>54</v>
      </c>
      <c r="E31" s="204">
        <f t="shared" si="0"/>
        <v>3</v>
      </c>
      <c r="F31" s="163">
        <v>2</v>
      </c>
      <c r="G31" s="122"/>
      <c r="H31" s="141"/>
      <c r="I31" s="77">
        <v>2</v>
      </c>
      <c r="J31" s="76"/>
      <c r="K31" s="77"/>
      <c r="L31" s="78"/>
      <c r="M31" s="191"/>
      <c r="N31" s="170"/>
      <c r="O31" s="408"/>
      <c r="P31" s="349"/>
      <c r="R31" s="6"/>
      <c r="S31" s="6"/>
      <c r="T31" s="6"/>
    </row>
    <row r="32" spans="1:20" ht="15.65" customHeight="1">
      <c r="A32" s="388"/>
      <c r="B32" s="352"/>
      <c r="C32" s="157" t="s">
        <v>53</v>
      </c>
      <c r="D32" s="192" t="s">
        <v>55</v>
      </c>
      <c r="E32" s="204">
        <f t="shared" si="0"/>
        <v>3</v>
      </c>
      <c r="F32" s="163">
        <v>2</v>
      </c>
      <c r="G32" s="122"/>
      <c r="H32" s="141"/>
      <c r="I32" s="77"/>
      <c r="J32" s="76">
        <v>2</v>
      </c>
      <c r="K32" s="77"/>
      <c r="L32" s="78"/>
      <c r="M32" s="191"/>
      <c r="N32" s="170"/>
      <c r="O32" s="408"/>
      <c r="P32" s="349"/>
      <c r="R32" s="6"/>
      <c r="S32" s="6"/>
      <c r="T32" s="6"/>
    </row>
    <row r="33" spans="1:20" ht="15.65" customHeight="1">
      <c r="A33" s="388"/>
      <c r="B33" s="352"/>
      <c r="C33" s="157" t="s">
        <v>56</v>
      </c>
      <c r="D33" s="192" t="s">
        <v>57</v>
      </c>
      <c r="E33" s="204">
        <f t="shared" si="0"/>
        <v>2</v>
      </c>
      <c r="F33" s="163">
        <v>1</v>
      </c>
      <c r="G33" s="122"/>
      <c r="H33" s="141"/>
      <c r="I33" s="77"/>
      <c r="J33" s="76"/>
      <c r="K33" s="77">
        <v>1</v>
      </c>
      <c r="L33" s="78"/>
      <c r="M33" s="191"/>
      <c r="N33" s="170"/>
      <c r="O33" s="408"/>
      <c r="P33" s="349"/>
      <c r="R33" s="6"/>
      <c r="S33" s="6"/>
      <c r="T33" s="6"/>
    </row>
    <row r="34" spans="1:20" ht="15.65" customHeight="1">
      <c r="A34" s="388"/>
      <c r="B34" s="352"/>
      <c r="C34" s="157" t="s">
        <v>56</v>
      </c>
      <c r="D34" s="192" t="s">
        <v>58</v>
      </c>
      <c r="E34" s="204">
        <f t="shared" si="0"/>
        <v>2</v>
      </c>
      <c r="F34" s="163">
        <v>1</v>
      </c>
      <c r="G34" s="137"/>
      <c r="H34" s="141"/>
      <c r="I34" s="77"/>
      <c r="J34" s="76"/>
      <c r="K34" s="77"/>
      <c r="L34" s="78">
        <v>1</v>
      </c>
      <c r="M34" s="191"/>
      <c r="N34" s="170"/>
      <c r="O34" s="408"/>
      <c r="P34" s="349"/>
      <c r="R34" s="6"/>
      <c r="S34" s="6"/>
      <c r="T34" s="6"/>
    </row>
    <row r="35" spans="1:20" ht="15.65" customHeight="1">
      <c r="A35" s="388"/>
      <c r="B35" s="368" t="s">
        <v>59</v>
      </c>
      <c r="C35" s="79" t="s">
        <v>21</v>
      </c>
      <c r="D35" s="194" t="s">
        <v>60</v>
      </c>
      <c r="E35" s="216">
        <f t="shared" si="0"/>
        <v>3</v>
      </c>
      <c r="F35" s="161">
        <v>2</v>
      </c>
      <c r="G35" s="120">
        <v>2</v>
      </c>
      <c r="H35" s="142" t="s">
        <v>145</v>
      </c>
      <c r="I35" s="81"/>
      <c r="J35" s="80"/>
      <c r="K35" s="81"/>
      <c r="L35" s="82"/>
      <c r="M35" s="195"/>
      <c r="N35" s="79"/>
      <c r="O35" s="422">
        <f>SUM(F35:F38)</f>
        <v>8</v>
      </c>
      <c r="P35" s="386">
        <v>10</v>
      </c>
      <c r="R35" s="6"/>
      <c r="S35" s="6"/>
      <c r="T35" s="6"/>
    </row>
    <row r="36" spans="1:20" ht="15.65" customHeight="1">
      <c r="A36" s="388"/>
      <c r="B36" s="352"/>
      <c r="C36" s="157" t="s">
        <v>56</v>
      </c>
      <c r="D36" s="192" t="s">
        <v>62</v>
      </c>
      <c r="E36" s="204">
        <f t="shared" si="0"/>
        <v>3</v>
      </c>
      <c r="F36" s="163">
        <v>2</v>
      </c>
      <c r="G36" s="122" t="s">
        <v>145</v>
      </c>
      <c r="H36" s="141">
        <v>2</v>
      </c>
      <c r="I36" s="77"/>
      <c r="J36" s="76"/>
      <c r="K36" s="77"/>
      <c r="L36" s="78"/>
      <c r="M36" s="191"/>
      <c r="N36" s="170"/>
      <c r="O36" s="408"/>
      <c r="P36" s="349"/>
      <c r="R36" s="6"/>
      <c r="S36" s="6"/>
      <c r="T36" s="6"/>
    </row>
    <row r="37" spans="1:20" ht="15.65" customHeight="1">
      <c r="A37" s="388"/>
      <c r="B37" s="352"/>
      <c r="C37" s="157" t="s">
        <v>21</v>
      </c>
      <c r="D37" s="192" t="s">
        <v>62</v>
      </c>
      <c r="E37" s="204">
        <f t="shared" si="0"/>
        <v>3</v>
      </c>
      <c r="F37" s="163">
        <v>2</v>
      </c>
      <c r="G37" s="122"/>
      <c r="H37" s="141"/>
      <c r="I37" s="77"/>
      <c r="J37" s="76"/>
      <c r="K37" s="77"/>
      <c r="L37" s="78"/>
      <c r="M37" s="191"/>
      <c r="N37" s="170"/>
      <c r="O37" s="408"/>
      <c r="P37" s="349"/>
      <c r="R37" s="6"/>
      <c r="S37" s="6"/>
      <c r="T37" s="6"/>
    </row>
    <row r="38" spans="1:20" ht="15.65" customHeight="1">
      <c r="A38" s="388"/>
      <c r="B38" s="352"/>
      <c r="C38" s="157" t="s">
        <v>56</v>
      </c>
      <c r="D38" s="192" t="s">
        <v>104</v>
      </c>
      <c r="E38" s="204">
        <f t="shared" si="0"/>
        <v>3</v>
      </c>
      <c r="F38" s="163">
        <v>2</v>
      </c>
      <c r="G38" s="122"/>
      <c r="H38" s="141"/>
      <c r="I38" s="77"/>
      <c r="J38" s="76"/>
      <c r="K38" s="77"/>
      <c r="L38" s="78"/>
      <c r="M38" s="191"/>
      <c r="N38" s="170"/>
      <c r="O38" s="408"/>
      <c r="P38" s="367"/>
      <c r="R38" s="6"/>
      <c r="S38" s="6"/>
      <c r="T38" s="6"/>
    </row>
    <row r="39" spans="1:20" ht="15.65" customHeight="1">
      <c r="A39" s="388"/>
      <c r="B39" s="239" t="s">
        <v>63</v>
      </c>
      <c r="C39" s="231" t="s">
        <v>21</v>
      </c>
      <c r="D39" s="232" t="s">
        <v>64</v>
      </c>
      <c r="E39" s="183">
        <f t="shared" ref="E39:E70" si="1">IFERROR(VLOOKUP(D39, 기본학점, 2, FALSE), "")</f>
        <v>4</v>
      </c>
      <c r="F39" s="119">
        <v>3</v>
      </c>
      <c r="G39" s="233">
        <v>3</v>
      </c>
      <c r="H39" s="144"/>
      <c r="I39" s="85"/>
      <c r="J39" s="86"/>
      <c r="K39" s="85"/>
      <c r="L39" s="75"/>
      <c r="M39" s="189"/>
      <c r="N39" s="243"/>
      <c r="O39" s="240"/>
      <c r="P39" s="176"/>
      <c r="R39" s="6"/>
      <c r="S39" s="6"/>
      <c r="T39" s="6"/>
    </row>
    <row r="40" spans="1:20" ht="15.65" customHeight="1">
      <c r="A40" s="388"/>
      <c r="B40" s="239"/>
      <c r="C40" s="231" t="s">
        <v>56</v>
      </c>
      <c r="D40" s="232" t="s">
        <v>131</v>
      </c>
      <c r="E40" s="183">
        <f t="shared" si="1"/>
        <v>4</v>
      </c>
      <c r="F40" s="119">
        <v>3</v>
      </c>
      <c r="G40" s="233"/>
      <c r="H40" s="144">
        <v>3</v>
      </c>
      <c r="I40" s="85"/>
      <c r="J40" s="86"/>
      <c r="K40" s="85"/>
      <c r="L40" s="75"/>
      <c r="M40" s="189"/>
      <c r="N40" s="243"/>
      <c r="O40" s="240"/>
      <c r="P40" s="176"/>
      <c r="R40" s="6"/>
      <c r="S40" s="6"/>
      <c r="T40" s="6"/>
    </row>
    <row r="41" spans="1:20" ht="15.65" customHeight="1">
      <c r="A41" s="388"/>
      <c r="B41" s="378" t="s">
        <v>65</v>
      </c>
      <c r="C41" s="79" t="s">
        <v>21</v>
      </c>
      <c r="D41" s="194" t="s">
        <v>66</v>
      </c>
      <c r="E41" s="216">
        <f t="shared" si="1"/>
        <v>3</v>
      </c>
      <c r="F41" s="161">
        <v>2</v>
      </c>
      <c r="G41" s="120"/>
      <c r="H41" s="142"/>
      <c r="I41" s="81"/>
      <c r="J41" s="80"/>
      <c r="K41" s="81">
        <v>2</v>
      </c>
      <c r="L41" s="82"/>
      <c r="M41" s="195"/>
      <c r="N41" s="79"/>
      <c r="O41" s="429">
        <f>SUM(F41:F42)</f>
        <v>6</v>
      </c>
      <c r="P41" s="417">
        <v>16</v>
      </c>
      <c r="R41" s="6"/>
      <c r="S41" s="6"/>
      <c r="T41" s="6"/>
    </row>
    <row r="42" spans="1:20" ht="15.65" customHeight="1" thickBot="1">
      <c r="A42" s="397"/>
      <c r="B42" s="373"/>
      <c r="C42" s="51" t="s">
        <v>56</v>
      </c>
      <c r="D42" s="197" t="s">
        <v>106</v>
      </c>
      <c r="E42" s="132">
        <f t="shared" si="1"/>
        <v>3</v>
      </c>
      <c r="F42" s="132">
        <v>4</v>
      </c>
      <c r="G42" s="131"/>
      <c r="H42" s="154"/>
      <c r="I42" s="53"/>
      <c r="J42" s="52"/>
      <c r="K42" s="53"/>
      <c r="L42" s="58">
        <v>4</v>
      </c>
      <c r="M42" s="198"/>
      <c r="N42" s="171"/>
      <c r="O42" s="409"/>
      <c r="P42" s="350"/>
      <c r="R42" s="6"/>
      <c r="S42" s="6"/>
      <c r="T42" s="6"/>
    </row>
    <row r="43" spans="1:20" ht="15.65" customHeight="1">
      <c r="A43" s="412" t="s">
        <v>132</v>
      </c>
      <c r="B43" s="241" t="s">
        <v>17</v>
      </c>
      <c r="C43" s="37" t="s">
        <v>53</v>
      </c>
      <c r="D43" s="190" t="s">
        <v>133</v>
      </c>
      <c r="E43" s="217">
        <f t="shared" si="1"/>
        <v>4</v>
      </c>
      <c r="F43" s="164">
        <v>3</v>
      </c>
      <c r="G43" s="218"/>
      <c r="H43" s="149"/>
      <c r="I43" s="430" t="s">
        <v>146</v>
      </c>
      <c r="J43" s="219"/>
      <c r="K43" s="9"/>
      <c r="L43" s="38"/>
      <c r="M43" s="201"/>
      <c r="N43" s="175"/>
      <c r="O43" s="424">
        <v>30</v>
      </c>
      <c r="P43" s="399"/>
      <c r="R43" s="6"/>
      <c r="S43" s="6"/>
      <c r="T43" s="6"/>
    </row>
    <row r="44" spans="1:20" ht="15.65" customHeight="1">
      <c r="A44" s="388"/>
      <c r="B44" s="355" t="s">
        <v>36</v>
      </c>
      <c r="C44" s="19" t="s">
        <v>56</v>
      </c>
      <c r="D44" s="194" t="s">
        <v>134</v>
      </c>
      <c r="E44" s="216">
        <f t="shared" si="1"/>
        <v>4</v>
      </c>
      <c r="F44" s="120">
        <v>3</v>
      </c>
      <c r="G44" s="124"/>
      <c r="H44" s="151"/>
      <c r="I44" s="376"/>
      <c r="J44" s="220"/>
      <c r="K44" s="41"/>
      <c r="L44" s="42"/>
      <c r="M44" s="200"/>
      <c r="N44" s="172"/>
      <c r="O44" s="408"/>
      <c r="P44" s="349"/>
    </row>
    <row r="45" spans="1:20" ht="15.65" customHeight="1">
      <c r="A45" s="388"/>
      <c r="B45" s="352"/>
      <c r="C45" s="10" t="s">
        <v>21</v>
      </c>
      <c r="D45" s="192" t="s">
        <v>135</v>
      </c>
      <c r="E45" s="204">
        <f t="shared" si="1"/>
        <v>4</v>
      </c>
      <c r="F45" s="122">
        <v>3</v>
      </c>
      <c r="G45" s="55"/>
      <c r="H45" s="152"/>
      <c r="I45" s="376"/>
      <c r="J45" s="221"/>
      <c r="K45" s="45"/>
      <c r="L45" s="46"/>
      <c r="M45" s="199"/>
      <c r="N45" s="170"/>
      <c r="O45" s="408"/>
      <c r="P45" s="349"/>
    </row>
    <row r="46" spans="1:20" ht="15.65" customHeight="1">
      <c r="A46" s="388"/>
      <c r="B46" s="352"/>
      <c r="C46" s="10" t="s">
        <v>56</v>
      </c>
      <c r="D46" s="192" t="s">
        <v>77</v>
      </c>
      <c r="E46" s="204">
        <f t="shared" si="1"/>
        <v>4</v>
      </c>
      <c r="F46" s="122">
        <v>3</v>
      </c>
      <c r="G46" s="55"/>
      <c r="H46" s="152"/>
      <c r="I46" s="376"/>
      <c r="J46" s="221"/>
      <c r="K46" s="45"/>
      <c r="L46" s="46"/>
      <c r="M46" s="199"/>
      <c r="N46" s="170"/>
      <c r="O46" s="408"/>
      <c r="P46" s="349"/>
    </row>
    <row r="47" spans="1:20" ht="15.65" customHeight="1">
      <c r="A47" s="388"/>
      <c r="B47" s="352"/>
      <c r="C47" s="10" t="s">
        <v>56</v>
      </c>
      <c r="D47" s="192" t="s">
        <v>137</v>
      </c>
      <c r="E47" s="204">
        <f t="shared" si="1"/>
        <v>4</v>
      </c>
      <c r="F47" s="122">
        <v>3</v>
      </c>
      <c r="G47" s="55"/>
      <c r="H47" s="152"/>
      <c r="I47" s="376"/>
      <c r="J47" s="221"/>
      <c r="K47" s="45"/>
      <c r="L47" s="46"/>
      <c r="M47" s="199"/>
      <c r="N47" s="170"/>
      <c r="O47" s="408"/>
      <c r="P47" s="349"/>
    </row>
    <row r="48" spans="1:20" ht="15.65" customHeight="1">
      <c r="A48" s="388"/>
      <c r="B48" s="356"/>
      <c r="C48" s="20" t="s">
        <v>56</v>
      </c>
      <c r="D48" s="196" t="s">
        <v>138</v>
      </c>
      <c r="E48" s="159">
        <f t="shared" si="1"/>
        <v>4</v>
      </c>
      <c r="F48" s="159">
        <v>3</v>
      </c>
      <c r="G48" s="125"/>
      <c r="H48" s="153"/>
      <c r="I48" s="376"/>
      <c r="J48" s="47"/>
      <c r="K48" s="48"/>
      <c r="L48" s="49"/>
      <c r="M48" s="193"/>
      <c r="N48" s="107"/>
      <c r="O48" s="408"/>
      <c r="P48" s="349"/>
    </row>
    <row r="49" spans="1:16" ht="15.65" customHeight="1">
      <c r="A49" s="388"/>
      <c r="B49" s="368" t="s">
        <v>41</v>
      </c>
      <c r="C49" s="19" t="s">
        <v>21</v>
      </c>
      <c r="D49" s="194" t="s">
        <v>46</v>
      </c>
      <c r="E49" s="216">
        <f t="shared" si="1"/>
        <v>4</v>
      </c>
      <c r="F49" s="120">
        <v>3</v>
      </c>
      <c r="G49" s="124"/>
      <c r="H49" s="151"/>
      <c r="I49" s="376"/>
      <c r="J49" s="66"/>
      <c r="K49" s="15"/>
      <c r="L49" s="39"/>
      <c r="M49" s="200"/>
      <c r="N49" s="172"/>
      <c r="O49" s="408"/>
      <c r="P49" s="349"/>
    </row>
    <row r="50" spans="1:16" ht="15.65" customHeight="1">
      <c r="A50" s="388"/>
      <c r="B50" s="352"/>
      <c r="C50" s="10" t="s">
        <v>21</v>
      </c>
      <c r="D50" s="192" t="s">
        <v>47</v>
      </c>
      <c r="E50" s="204">
        <f t="shared" si="1"/>
        <v>4</v>
      </c>
      <c r="F50" s="122">
        <v>3</v>
      </c>
      <c r="G50" s="55"/>
      <c r="H50" s="152"/>
      <c r="I50" s="376"/>
      <c r="J50" s="63"/>
      <c r="K50" s="11"/>
      <c r="L50" s="43"/>
      <c r="M50" s="199"/>
      <c r="N50" s="170"/>
      <c r="O50" s="408"/>
      <c r="P50" s="349"/>
    </row>
    <row r="51" spans="1:16" ht="15.65" customHeight="1">
      <c r="A51" s="388"/>
      <c r="B51" s="352"/>
      <c r="C51" s="10" t="s">
        <v>21</v>
      </c>
      <c r="D51" s="192" t="s">
        <v>48</v>
      </c>
      <c r="E51" s="204">
        <f t="shared" si="1"/>
        <v>4</v>
      </c>
      <c r="F51" s="122">
        <v>3</v>
      </c>
      <c r="G51" s="55"/>
      <c r="H51" s="152"/>
      <c r="I51" s="376"/>
      <c r="J51" s="63"/>
      <c r="K51" s="11"/>
      <c r="L51" s="43"/>
      <c r="M51" s="199"/>
      <c r="N51" s="170"/>
      <c r="O51" s="408"/>
      <c r="P51" s="349"/>
    </row>
    <row r="52" spans="1:16" ht="15.65" customHeight="1">
      <c r="A52" s="388"/>
      <c r="B52" s="352"/>
      <c r="C52" s="10" t="s">
        <v>21</v>
      </c>
      <c r="D52" s="192" t="s">
        <v>49</v>
      </c>
      <c r="E52" s="204">
        <f t="shared" si="1"/>
        <v>4</v>
      </c>
      <c r="F52" s="122">
        <v>3</v>
      </c>
      <c r="G52" s="55"/>
      <c r="H52" s="152"/>
      <c r="I52" s="385"/>
      <c r="J52" s="63"/>
      <c r="K52" s="11"/>
      <c r="L52" s="43"/>
      <c r="M52" s="199"/>
      <c r="N52" s="170"/>
      <c r="O52" s="408"/>
      <c r="P52" s="349"/>
    </row>
    <row r="53" spans="1:16" ht="15.65" customHeight="1">
      <c r="A53" s="388"/>
      <c r="B53" s="355" t="s">
        <v>68</v>
      </c>
      <c r="C53" s="19" t="s">
        <v>21</v>
      </c>
      <c r="D53" s="194" t="s">
        <v>69</v>
      </c>
      <c r="E53" s="216">
        <f t="shared" si="1"/>
        <v>4</v>
      </c>
      <c r="F53" s="158">
        <v>3</v>
      </c>
      <c r="G53" s="124"/>
      <c r="H53" s="145"/>
      <c r="I53" s="411" t="s">
        <v>70</v>
      </c>
      <c r="J53" s="165"/>
      <c r="K53" s="17"/>
      <c r="L53" s="16"/>
      <c r="M53" s="200"/>
      <c r="N53" s="79"/>
      <c r="O53" s="408"/>
      <c r="P53" s="349"/>
    </row>
    <row r="54" spans="1:16" ht="15.65" customHeight="1">
      <c r="A54" s="388"/>
      <c r="B54" s="356"/>
      <c r="C54" s="27" t="s">
        <v>21</v>
      </c>
      <c r="D54" s="196" t="s">
        <v>71</v>
      </c>
      <c r="E54" s="159">
        <f t="shared" si="1"/>
        <v>4</v>
      </c>
      <c r="F54" s="159">
        <v>3</v>
      </c>
      <c r="G54" s="54"/>
      <c r="H54" s="150"/>
      <c r="I54" s="385"/>
      <c r="J54" s="230"/>
      <c r="K54" s="25"/>
      <c r="L54" s="26"/>
      <c r="M54" s="193"/>
      <c r="N54" s="171"/>
      <c r="O54" s="408"/>
      <c r="P54" s="349"/>
    </row>
    <row r="55" spans="1:16" ht="15.65" customHeight="1">
      <c r="A55" s="388"/>
      <c r="B55" s="238" t="s">
        <v>25</v>
      </c>
      <c r="C55" s="19" t="s">
        <v>56</v>
      </c>
      <c r="D55" s="194" t="s">
        <v>72</v>
      </c>
      <c r="E55" s="216">
        <f t="shared" si="1"/>
        <v>4</v>
      </c>
      <c r="F55" s="161">
        <v>3</v>
      </c>
      <c r="G55" s="124"/>
      <c r="H55" s="145"/>
      <c r="I55" s="17"/>
      <c r="J55" s="428" t="s">
        <v>146</v>
      </c>
      <c r="K55" s="17"/>
      <c r="L55" s="18"/>
      <c r="M55" s="200"/>
      <c r="N55" s="79"/>
      <c r="O55" s="408"/>
      <c r="P55" s="349"/>
    </row>
    <row r="56" spans="1:16" ht="15.65" customHeight="1">
      <c r="A56" s="388"/>
      <c r="B56" s="238" t="s">
        <v>31</v>
      </c>
      <c r="C56" s="19" t="s">
        <v>53</v>
      </c>
      <c r="D56" s="194" t="s">
        <v>74</v>
      </c>
      <c r="E56" s="216">
        <f t="shared" si="1"/>
        <v>4</v>
      </c>
      <c r="F56" s="161">
        <v>3</v>
      </c>
      <c r="G56" s="124"/>
      <c r="H56" s="145"/>
      <c r="I56" s="17"/>
      <c r="J56" s="376"/>
      <c r="K56" s="17"/>
      <c r="L56" s="18"/>
      <c r="M56" s="200"/>
      <c r="N56" s="172"/>
      <c r="O56" s="408"/>
      <c r="P56" s="349"/>
    </row>
    <row r="57" spans="1:16" ht="15.65" customHeight="1">
      <c r="A57" s="388"/>
      <c r="B57" s="368" t="s">
        <v>36</v>
      </c>
      <c r="C57" s="19" t="s">
        <v>21</v>
      </c>
      <c r="D57" s="194" t="s">
        <v>75</v>
      </c>
      <c r="E57" s="216">
        <f t="shared" si="1"/>
        <v>4</v>
      </c>
      <c r="F57" s="161">
        <v>3</v>
      </c>
      <c r="G57" s="124"/>
      <c r="H57" s="151"/>
      <c r="I57" s="41"/>
      <c r="J57" s="376"/>
      <c r="K57" s="41"/>
      <c r="L57" s="42"/>
      <c r="M57" s="200"/>
      <c r="N57" s="79"/>
      <c r="O57" s="408"/>
      <c r="P57" s="349"/>
    </row>
    <row r="58" spans="1:16" ht="15.65" customHeight="1">
      <c r="A58" s="388"/>
      <c r="B58" s="352"/>
      <c r="C58" s="10" t="s">
        <v>21</v>
      </c>
      <c r="D58" s="192" t="s">
        <v>76</v>
      </c>
      <c r="E58" s="204">
        <f t="shared" si="1"/>
        <v>4</v>
      </c>
      <c r="F58" s="163">
        <v>3</v>
      </c>
      <c r="G58" s="55"/>
      <c r="H58" s="152"/>
      <c r="I58" s="45"/>
      <c r="J58" s="376"/>
      <c r="K58" s="45"/>
      <c r="L58" s="46"/>
      <c r="M58" s="199"/>
      <c r="N58" s="170"/>
      <c r="O58" s="408"/>
      <c r="P58" s="349"/>
    </row>
    <row r="59" spans="1:16" ht="15.65" customHeight="1">
      <c r="A59" s="388"/>
      <c r="B59" s="352"/>
      <c r="C59" s="10" t="s">
        <v>21</v>
      </c>
      <c r="D59" s="192" t="s">
        <v>136</v>
      </c>
      <c r="E59" s="204">
        <f t="shared" si="1"/>
        <v>4</v>
      </c>
      <c r="F59" s="163">
        <v>3</v>
      </c>
      <c r="G59" s="55"/>
      <c r="H59" s="152"/>
      <c r="I59" s="45"/>
      <c r="J59" s="376"/>
      <c r="K59" s="45"/>
      <c r="L59" s="46"/>
      <c r="M59" s="199"/>
      <c r="N59" s="170"/>
      <c r="O59" s="408"/>
      <c r="P59" s="349"/>
    </row>
    <row r="60" spans="1:16" ht="15.65" customHeight="1">
      <c r="A60" s="388"/>
      <c r="B60" s="352"/>
      <c r="C60" s="10" t="s">
        <v>53</v>
      </c>
      <c r="D60" s="192" t="s">
        <v>79</v>
      </c>
      <c r="E60" s="204">
        <f t="shared" si="1"/>
        <v>4</v>
      </c>
      <c r="F60" s="163">
        <v>3</v>
      </c>
      <c r="G60" s="55"/>
      <c r="H60" s="152"/>
      <c r="I60" s="45"/>
      <c r="J60" s="376"/>
      <c r="K60" s="45"/>
      <c r="L60" s="46"/>
      <c r="M60" s="199"/>
      <c r="N60" s="170"/>
      <c r="O60" s="408"/>
      <c r="P60" s="349"/>
    </row>
    <row r="61" spans="1:16" ht="15.65" customHeight="1">
      <c r="A61" s="388"/>
      <c r="B61" s="368" t="s">
        <v>41</v>
      </c>
      <c r="C61" s="19" t="s">
        <v>56</v>
      </c>
      <c r="D61" s="194" t="s">
        <v>80</v>
      </c>
      <c r="E61" s="216">
        <f t="shared" si="1"/>
        <v>4</v>
      </c>
      <c r="F61" s="161">
        <v>3</v>
      </c>
      <c r="G61" s="124"/>
      <c r="H61" s="151"/>
      <c r="I61" s="17"/>
      <c r="J61" s="376"/>
      <c r="K61" s="15"/>
      <c r="L61" s="39"/>
      <c r="M61" s="200"/>
      <c r="N61" s="172"/>
      <c r="O61" s="408"/>
      <c r="P61" s="349"/>
    </row>
    <row r="62" spans="1:16" ht="15.65" customHeight="1">
      <c r="A62" s="388"/>
      <c r="B62" s="352"/>
      <c r="C62" s="10" t="s">
        <v>56</v>
      </c>
      <c r="D62" s="192" t="s">
        <v>81</v>
      </c>
      <c r="E62" s="204">
        <f t="shared" si="1"/>
        <v>4</v>
      </c>
      <c r="F62" s="163">
        <v>3</v>
      </c>
      <c r="G62" s="55"/>
      <c r="H62" s="152"/>
      <c r="I62" s="13"/>
      <c r="J62" s="376"/>
      <c r="K62" s="11"/>
      <c r="L62" s="43"/>
      <c r="M62" s="199"/>
      <c r="N62" s="170"/>
      <c r="O62" s="408"/>
      <c r="P62" s="349"/>
    </row>
    <row r="63" spans="1:16" ht="15.65" customHeight="1">
      <c r="A63" s="388"/>
      <c r="B63" s="352"/>
      <c r="C63" s="10" t="s">
        <v>56</v>
      </c>
      <c r="D63" s="192" t="s">
        <v>82</v>
      </c>
      <c r="E63" s="204">
        <f t="shared" si="1"/>
        <v>4</v>
      </c>
      <c r="F63" s="163">
        <v>3</v>
      </c>
      <c r="G63" s="55"/>
      <c r="H63" s="152"/>
      <c r="I63" s="13"/>
      <c r="J63" s="376"/>
      <c r="K63" s="11"/>
      <c r="L63" s="43"/>
      <c r="M63" s="199"/>
      <c r="N63" s="170"/>
      <c r="O63" s="408"/>
      <c r="P63" s="349"/>
    </row>
    <row r="64" spans="1:16" ht="15.65" customHeight="1">
      <c r="A64" s="388"/>
      <c r="B64" s="352"/>
      <c r="C64" s="10" t="s">
        <v>56</v>
      </c>
      <c r="D64" s="192" t="s">
        <v>83</v>
      </c>
      <c r="E64" s="204">
        <f t="shared" si="1"/>
        <v>4</v>
      </c>
      <c r="F64" s="163">
        <v>3</v>
      </c>
      <c r="G64" s="55"/>
      <c r="H64" s="152"/>
      <c r="I64" s="13"/>
      <c r="J64" s="385"/>
      <c r="K64" s="11"/>
      <c r="L64" s="43"/>
      <c r="M64" s="199"/>
      <c r="N64" s="170"/>
      <c r="O64" s="408"/>
      <c r="P64" s="349"/>
    </row>
    <row r="65" spans="1:16" ht="15.65" customHeight="1">
      <c r="A65" s="388"/>
      <c r="B65" s="355" t="s">
        <v>68</v>
      </c>
      <c r="C65" s="19" t="s">
        <v>56</v>
      </c>
      <c r="D65" s="194" t="s">
        <v>84</v>
      </c>
      <c r="E65" s="216">
        <f t="shared" si="1"/>
        <v>4</v>
      </c>
      <c r="F65" s="158">
        <v>3</v>
      </c>
      <c r="G65" s="124"/>
      <c r="H65" s="145"/>
      <c r="I65" s="17"/>
      <c r="J65" s="411" t="s">
        <v>70</v>
      </c>
      <c r="K65" s="17"/>
      <c r="L65" s="16"/>
      <c r="M65" s="200"/>
      <c r="N65" s="79"/>
      <c r="O65" s="408"/>
      <c r="P65" s="349"/>
    </row>
    <row r="66" spans="1:16" ht="15.65" customHeight="1" thickBot="1">
      <c r="A66" s="388"/>
      <c r="B66" s="356"/>
      <c r="C66" s="20" t="s">
        <v>56</v>
      </c>
      <c r="D66" s="196" t="s">
        <v>85</v>
      </c>
      <c r="E66" s="159">
        <f t="shared" si="1"/>
        <v>4</v>
      </c>
      <c r="F66" s="159">
        <v>3</v>
      </c>
      <c r="G66" s="54"/>
      <c r="H66" s="150"/>
      <c r="I66" s="8"/>
      <c r="J66" s="385"/>
      <c r="K66" s="25"/>
      <c r="L66" s="26"/>
      <c r="M66" s="193"/>
      <c r="N66" s="171"/>
      <c r="O66" s="408"/>
      <c r="P66" s="349"/>
    </row>
    <row r="67" spans="1:16" ht="15.65" customHeight="1">
      <c r="A67" s="412" t="s">
        <v>147</v>
      </c>
      <c r="B67" s="381" t="s">
        <v>17</v>
      </c>
      <c r="C67" s="37" t="s">
        <v>21</v>
      </c>
      <c r="D67" s="190" t="s">
        <v>24</v>
      </c>
      <c r="E67" s="164">
        <f t="shared" si="1"/>
        <v>4</v>
      </c>
      <c r="F67" s="222">
        <v>3</v>
      </c>
      <c r="G67" s="126"/>
      <c r="H67" s="149"/>
      <c r="I67" s="9"/>
      <c r="J67" s="38"/>
      <c r="K67" s="384" t="s">
        <v>73</v>
      </c>
      <c r="L67" s="223"/>
      <c r="M67" s="201"/>
      <c r="N67" s="175"/>
      <c r="O67" s="419">
        <v>45</v>
      </c>
      <c r="P67" s="399"/>
    </row>
    <row r="68" spans="1:16" ht="15.65" customHeight="1">
      <c r="A68" s="388"/>
      <c r="B68" s="356"/>
      <c r="C68" s="27" t="s">
        <v>56</v>
      </c>
      <c r="D68" s="196" t="s">
        <v>87</v>
      </c>
      <c r="E68" s="159">
        <f t="shared" si="1"/>
        <v>4</v>
      </c>
      <c r="F68" s="159">
        <v>3</v>
      </c>
      <c r="G68" s="125"/>
      <c r="H68" s="147"/>
      <c r="I68" s="23"/>
      <c r="J68" s="24"/>
      <c r="K68" s="376"/>
      <c r="L68" s="26"/>
      <c r="M68" s="193"/>
      <c r="N68" s="107"/>
      <c r="O68" s="408"/>
      <c r="P68" s="349"/>
    </row>
    <row r="69" spans="1:16" ht="15.65" customHeight="1">
      <c r="A69" s="388"/>
      <c r="B69" s="238" t="s">
        <v>25</v>
      </c>
      <c r="C69" s="19" t="s">
        <v>56</v>
      </c>
      <c r="D69" s="194" t="s">
        <v>88</v>
      </c>
      <c r="E69" s="216">
        <f t="shared" si="1"/>
        <v>4</v>
      </c>
      <c r="F69" s="158">
        <v>3</v>
      </c>
      <c r="G69" s="124"/>
      <c r="H69" s="145"/>
      <c r="I69" s="17"/>
      <c r="J69" s="18"/>
      <c r="K69" s="376"/>
      <c r="L69" s="16"/>
      <c r="M69" s="200"/>
      <c r="N69" s="172"/>
      <c r="O69" s="408"/>
      <c r="P69" s="349"/>
    </row>
    <row r="70" spans="1:16" ht="15.65" customHeight="1">
      <c r="A70" s="388"/>
      <c r="B70" s="355" t="s">
        <v>31</v>
      </c>
      <c r="C70" s="19" t="s">
        <v>21</v>
      </c>
      <c r="D70" s="194" t="s">
        <v>89</v>
      </c>
      <c r="E70" s="216">
        <f t="shared" si="1"/>
        <v>4</v>
      </c>
      <c r="F70" s="158">
        <v>3</v>
      </c>
      <c r="G70" s="124"/>
      <c r="H70" s="145"/>
      <c r="I70" s="17"/>
      <c r="J70" s="18"/>
      <c r="K70" s="376"/>
      <c r="L70" s="16"/>
      <c r="M70" s="200"/>
      <c r="N70" s="172"/>
      <c r="O70" s="408"/>
      <c r="P70" s="349"/>
    </row>
    <row r="71" spans="1:16" ht="15.65" customHeight="1">
      <c r="A71" s="388"/>
      <c r="B71" s="356"/>
      <c r="C71" s="27" t="s">
        <v>56</v>
      </c>
      <c r="D71" s="196" t="s">
        <v>90</v>
      </c>
      <c r="E71" s="159">
        <f t="shared" ref="E71:E102" si="2">IFERROR(VLOOKUP(D71, 기본학점, 2, FALSE), "")</f>
        <v>4</v>
      </c>
      <c r="F71" s="159">
        <v>3</v>
      </c>
      <c r="G71" s="125"/>
      <c r="H71" s="147"/>
      <c r="I71" s="23"/>
      <c r="J71" s="24"/>
      <c r="K71" s="376"/>
      <c r="L71" s="24"/>
      <c r="M71" s="193"/>
      <c r="N71" s="173"/>
      <c r="O71" s="408"/>
      <c r="P71" s="349"/>
    </row>
    <row r="72" spans="1:16" ht="15.65" customHeight="1">
      <c r="A72" s="388"/>
      <c r="B72" s="368" t="s">
        <v>36</v>
      </c>
      <c r="C72" s="19" t="s">
        <v>56</v>
      </c>
      <c r="D72" s="194" t="s">
        <v>91</v>
      </c>
      <c r="E72" s="216">
        <f t="shared" si="2"/>
        <v>4</v>
      </c>
      <c r="F72" s="161">
        <v>3</v>
      </c>
      <c r="G72" s="124"/>
      <c r="H72" s="151"/>
      <c r="I72" s="41"/>
      <c r="J72" s="42"/>
      <c r="K72" s="376"/>
      <c r="L72" s="145"/>
      <c r="M72" s="200"/>
      <c r="N72" s="172"/>
      <c r="O72" s="408"/>
      <c r="P72" s="349"/>
    </row>
    <row r="73" spans="1:16" ht="15.65" customHeight="1">
      <c r="A73" s="388"/>
      <c r="B73" s="352"/>
      <c r="C73" s="10" t="s">
        <v>56</v>
      </c>
      <c r="D73" s="192" t="s">
        <v>92</v>
      </c>
      <c r="E73" s="204">
        <f t="shared" si="2"/>
        <v>4</v>
      </c>
      <c r="F73" s="163">
        <v>3</v>
      </c>
      <c r="G73" s="55"/>
      <c r="H73" s="152"/>
      <c r="I73" s="45"/>
      <c r="J73" s="46"/>
      <c r="K73" s="376"/>
      <c r="L73" s="146"/>
      <c r="M73" s="199"/>
      <c r="N73" s="170"/>
      <c r="O73" s="408"/>
      <c r="P73" s="349"/>
    </row>
    <row r="74" spans="1:16" ht="15.65" customHeight="1">
      <c r="A74" s="388"/>
      <c r="B74" s="352"/>
      <c r="C74" s="10" t="s">
        <v>53</v>
      </c>
      <c r="D74" s="192" t="s">
        <v>93</v>
      </c>
      <c r="E74" s="204">
        <f t="shared" si="2"/>
        <v>4</v>
      </c>
      <c r="F74" s="163">
        <v>3</v>
      </c>
      <c r="G74" s="55"/>
      <c r="H74" s="152"/>
      <c r="I74" s="45"/>
      <c r="J74" s="46"/>
      <c r="K74" s="376"/>
      <c r="L74" s="146"/>
      <c r="M74" s="199"/>
      <c r="N74" s="170"/>
      <c r="O74" s="408"/>
      <c r="P74" s="349"/>
    </row>
    <row r="75" spans="1:16" ht="15.65" customHeight="1">
      <c r="A75" s="388"/>
      <c r="B75" s="352"/>
      <c r="C75" s="10" t="s">
        <v>53</v>
      </c>
      <c r="D75" s="192" t="s">
        <v>94</v>
      </c>
      <c r="E75" s="204">
        <f t="shared" si="2"/>
        <v>4</v>
      </c>
      <c r="F75" s="163">
        <v>3</v>
      </c>
      <c r="G75" s="55"/>
      <c r="H75" s="152"/>
      <c r="I75" s="45"/>
      <c r="J75" s="46"/>
      <c r="K75" s="376"/>
      <c r="L75" s="146"/>
      <c r="M75" s="199"/>
      <c r="N75" s="170"/>
      <c r="O75" s="408"/>
      <c r="P75" s="349"/>
    </row>
    <row r="76" spans="1:16" ht="15.65" customHeight="1">
      <c r="A76" s="388"/>
      <c r="B76" s="355" t="s">
        <v>41</v>
      </c>
      <c r="C76" s="19" t="s">
        <v>56</v>
      </c>
      <c r="D76" s="194" t="s">
        <v>95</v>
      </c>
      <c r="E76" s="216">
        <f t="shared" si="2"/>
        <v>4</v>
      </c>
      <c r="F76" s="161">
        <v>3</v>
      </c>
      <c r="G76" s="124"/>
      <c r="H76" s="151"/>
      <c r="I76" s="33"/>
      <c r="J76" s="34"/>
      <c r="K76" s="376"/>
      <c r="L76" s="39"/>
      <c r="M76" s="200"/>
      <c r="N76" s="172"/>
      <c r="O76" s="408"/>
      <c r="P76" s="349"/>
    </row>
    <row r="77" spans="1:16" ht="15.65" customHeight="1">
      <c r="A77" s="388"/>
      <c r="B77" s="352"/>
      <c r="C77" s="10" t="s">
        <v>56</v>
      </c>
      <c r="D77" s="192" t="s">
        <v>96</v>
      </c>
      <c r="E77" s="204">
        <f t="shared" si="2"/>
        <v>4</v>
      </c>
      <c r="F77" s="163">
        <v>3</v>
      </c>
      <c r="G77" s="55"/>
      <c r="H77" s="152"/>
      <c r="I77" s="35"/>
      <c r="J77" s="36"/>
      <c r="K77" s="376"/>
      <c r="L77" s="43"/>
      <c r="M77" s="199"/>
      <c r="N77" s="170"/>
      <c r="O77" s="408"/>
      <c r="P77" s="349"/>
    </row>
    <row r="78" spans="1:16" ht="15.65" customHeight="1">
      <c r="A78" s="388"/>
      <c r="B78" s="352"/>
      <c r="C78" s="10" t="s">
        <v>56</v>
      </c>
      <c r="D78" s="192" t="s">
        <v>97</v>
      </c>
      <c r="E78" s="204">
        <f t="shared" si="2"/>
        <v>4</v>
      </c>
      <c r="F78" s="163">
        <v>3</v>
      </c>
      <c r="G78" s="139"/>
      <c r="H78" s="146"/>
      <c r="I78" s="13"/>
      <c r="J78" s="14"/>
      <c r="K78" s="376"/>
      <c r="L78" s="12"/>
      <c r="M78" s="199"/>
      <c r="N78" s="170"/>
      <c r="O78" s="408"/>
      <c r="P78" s="349"/>
    </row>
    <row r="79" spans="1:16" ht="15.65" customHeight="1">
      <c r="A79" s="388"/>
      <c r="B79" s="356"/>
      <c r="C79" s="27" t="s">
        <v>56</v>
      </c>
      <c r="D79" s="196" t="s">
        <v>98</v>
      </c>
      <c r="E79" s="159">
        <f t="shared" si="2"/>
        <v>4</v>
      </c>
      <c r="F79" s="123">
        <v>3</v>
      </c>
      <c r="G79" s="140"/>
      <c r="H79" s="147"/>
      <c r="I79" s="23"/>
      <c r="J79" s="24"/>
      <c r="K79" s="376"/>
      <c r="L79" s="24"/>
      <c r="M79" s="193"/>
      <c r="N79" s="171"/>
      <c r="O79" s="408"/>
      <c r="P79" s="349"/>
    </row>
    <row r="80" spans="1:16" ht="15.65" customHeight="1">
      <c r="A80" s="388"/>
      <c r="B80" s="355" t="s">
        <v>68</v>
      </c>
      <c r="C80" s="19" t="s">
        <v>56</v>
      </c>
      <c r="D80" s="194" t="s">
        <v>100</v>
      </c>
      <c r="E80" s="216">
        <f t="shared" si="2"/>
        <v>4</v>
      </c>
      <c r="F80" s="158">
        <v>3</v>
      </c>
      <c r="G80" s="124"/>
      <c r="H80" s="145"/>
      <c r="I80" s="17"/>
      <c r="J80" s="18"/>
      <c r="K80" s="376"/>
      <c r="L80" s="16"/>
      <c r="M80" s="200"/>
      <c r="N80" s="79"/>
      <c r="O80" s="408"/>
      <c r="P80" s="349"/>
    </row>
    <row r="81" spans="1:16" ht="15.65" customHeight="1">
      <c r="A81" s="388"/>
      <c r="B81" s="356"/>
      <c r="C81" s="27" t="s">
        <v>56</v>
      </c>
      <c r="D81" s="196" t="s">
        <v>101</v>
      </c>
      <c r="E81" s="159">
        <f t="shared" si="2"/>
        <v>4</v>
      </c>
      <c r="F81" s="123">
        <v>3</v>
      </c>
      <c r="G81" s="125"/>
      <c r="H81" s="147"/>
      <c r="I81" s="23"/>
      <c r="J81" s="24"/>
      <c r="K81" s="385"/>
      <c r="L81" s="24"/>
      <c r="M81" s="193"/>
      <c r="N81" s="107"/>
      <c r="O81" s="408"/>
      <c r="P81" s="349"/>
    </row>
    <row r="82" spans="1:16" ht="15.65" customHeight="1">
      <c r="A82" s="388"/>
      <c r="B82" s="378" t="s">
        <v>59</v>
      </c>
      <c r="C82" s="19" t="s">
        <v>56</v>
      </c>
      <c r="D82" s="194" t="s">
        <v>124</v>
      </c>
      <c r="E82" s="216">
        <f t="shared" si="2"/>
        <v>3</v>
      </c>
      <c r="F82" s="161">
        <v>3</v>
      </c>
      <c r="G82" s="133"/>
      <c r="H82" s="203"/>
      <c r="I82" s="180"/>
      <c r="J82" s="178"/>
      <c r="K82" s="353" t="s">
        <v>70</v>
      </c>
      <c r="L82" s="178"/>
      <c r="M82" s="227"/>
      <c r="N82" s="228"/>
      <c r="O82" s="408"/>
      <c r="P82" s="349"/>
    </row>
    <row r="83" spans="1:16" ht="15.65" customHeight="1" thickBot="1">
      <c r="A83" s="388"/>
      <c r="B83" s="373"/>
      <c r="C83" s="19" t="s">
        <v>56</v>
      </c>
      <c r="D83" s="194" t="s">
        <v>123</v>
      </c>
      <c r="E83" s="216">
        <f t="shared" si="2"/>
        <v>3</v>
      </c>
      <c r="F83" s="158">
        <v>3</v>
      </c>
      <c r="G83" s="124"/>
      <c r="H83" s="145"/>
      <c r="I83" s="17"/>
      <c r="J83" s="18"/>
      <c r="K83" s="377"/>
      <c r="L83" s="16"/>
      <c r="M83" s="200"/>
      <c r="N83" s="172"/>
      <c r="O83" s="408"/>
      <c r="P83" s="349"/>
    </row>
    <row r="84" spans="1:16" ht="15.65" customHeight="1">
      <c r="A84" s="388"/>
      <c r="B84" s="381" t="s">
        <v>17</v>
      </c>
      <c r="C84" s="37" t="s">
        <v>56</v>
      </c>
      <c r="D84" s="190" t="s">
        <v>107</v>
      </c>
      <c r="E84" s="164">
        <f t="shared" si="2"/>
        <v>4</v>
      </c>
      <c r="F84" s="164">
        <v>3</v>
      </c>
      <c r="G84" s="126"/>
      <c r="H84" s="149"/>
      <c r="I84" s="59"/>
      <c r="J84" s="38"/>
      <c r="K84" s="224"/>
      <c r="L84" s="384" t="s">
        <v>108</v>
      </c>
      <c r="M84" s="201"/>
      <c r="N84" s="175"/>
      <c r="O84" s="408"/>
      <c r="P84" s="349"/>
    </row>
    <row r="85" spans="1:16" ht="15.65" customHeight="1">
      <c r="A85" s="388"/>
      <c r="B85" s="356"/>
      <c r="C85" s="27" t="s">
        <v>53</v>
      </c>
      <c r="D85" s="196" t="s">
        <v>109</v>
      </c>
      <c r="E85" s="162">
        <f t="shared" si="2"/>
        <v>4</v>
      </c>
      <c r="F85" s="123">
        <v>3</v>
      </c>
      <c r="G85" s="206"/>
      <c r="H85" s="207"/>
      <c r="I85" s="208"/>
      <c r="J85" s="209"/>
      <c r="K85" s="210"/>
      <c r="L85" s="376"/>
      <c r="M85" s="193"/>
      <c r="N85" s="107"/>
      <c r="O85" s="408"/>
      <c r="P85" s="349"/>
    </row>
    <row r="86" spans="1:16" ht="15.65" customHeight="1">
      <c r="A86" s="388"/>
      <c r="B86" s="355" t="s">
        <v>25</v>
      </c>
      <c r="C86" s="19" t="s">
        <v>56</v>
      </c>
      <c r="D86" s="194" t="s">
        <v>110</v>
      </c>
      <c r="E86" s="216">
        <f t="shared" si="2"/>
        <v>4</v>
      </c>
      <c r="F86" s="158">
        <v>3</v>
      </c>
      <c r="G86" s="124"/>
      <c r="H86" s="145"/>
      <c r="I86" s="62"/>
      <c r="J86" s="18"/>
      <c r="K86" s="50"/>
      <c r="L86" s="376"/>
      <c r="M86" s="200"/>
      <c r="N86" s="172"/>
      <c r="O86" s="408"/>
      <c r="P86" s="349"/>
    </row>
    <row r="87" spans="1:16" ht="15.65" customHeight="1">
      <c r="A87" s="388"/>
      <c r="B87" s="356"/>
      <c r="C87" s="20" t="s">
        <v>53</v>
      </c>
      <c r="D87" s="196" t="s">
        <v>111</v>
      </c>
      <c r="E87" s="159">
        <f t="shared" si="2"/>
        <v>4</v>
      </c>
      <c r="F87" s="123">
        <v>3</v>
      </c>
      <c r="G87" s="125"/>
      <c r="H87" s="147"/>
      <c r="I87" s="60"/>
      <c r="J87" s="24"/>
      <c r="K87" s="61"/>
      <c r="L87" s="376"/>
      <c r="M87" s="193"/>
      <c r="N87" s="171"/>
      <c r="O87" s="408"/>
      <c r="P87" s="349"/>
    </row>
    <row r="88" spans="1:16" ht="15.65" customHeight="1">
      <c r="A88" s="388"/>
      <c r="B88" s="355" t="s">
        <v>31</v>
      </c>
      <c r="C88" s="19" t="s">
        <v>56</v>
      </c>
      <c r="D88" s="194" t="s">
        <v>112</v>
      </c>
      <c r="E88" s="216">
        <f t="shared" si="2"/>
        <v>4</v>
      </c>
      <c r="F88" s="158">
        <v>3</v>
      </c>
      <c r="G88" s="124"/>
      <c r="H88" s="145"/>
      <c r="I88" s="15"/>
      <c r="J88" s="16"/>
      <c r="K88" s="165"/>
      <c r="L88" s="376"/>
      <c r="M88" s="200"/>
      <c r="N88" s="79"/>
      <c r="O88" s="408"/>
      <c r="P88" s="349"/>
    </row>
    <row r="89" spans="1:16" ht="15.65" customHeight="1">
      <c r="A89" s="388"/>
      <c r="B89" s="356"/>
      <c r="C89" s="20" t="s">
        <v>56</v>
      </c>
      <c r="D89" s="196" t="s">
        <v>113</v>
      </c>
      <c r="E89" s="159">
        <f t="shared" si="2"/>
        <v>4</v>
      </c>
      <c r="F89" s="159">
        <v>3</v>
      </c>
      <c r="G89" s="125"/>
      <c r="H89" s="147"/>
      <c r="I89" s="21"/>
      <c r="J89" s="22"/>
      <c r="K89" s="64"/>
      <c r="L89" s="376"/>
      <c r="M89" s="193"/>
      <c r="N89" s="107"/>
      <c r="O89" s="408"/>
      <c r="P89" s="349"/>
    </row>
    <row r="90" spans="1:16" ht="15.65" customHeight="1">
      <c r="A90" s="388"/>
      <c r="B90" s="355" t="s">
        <v>36</v>
      </c>
      <c r="C90" s="19" t="s">
        <v>53</v>
      </c>
      <c r="D90" s="194" t="s">
        <v>114</v>
      </c>
      <c r="E90" s="216">
        <f t="shared" si="2"/>
        <v>4</v>
      </c>
      <c r="F90" s="161">
        <v>3</v>
      </c>
      <c r="G90" s="124"/>
      <c r="H90" s="151"/>
      <c r="I90" s="41"/>
      <c r="J90" s="42"/>
      <c r="K90" s="40"/>
      <c r="L90" s="376"/>
      <c r="M90" s="200"/>
      <c r="N90" s="172"/>
      <c r="O90" s="408"/>
      <c r="P90" s="349"/>
    </row>
    <row r="91" spans="1:16" ht="15.65" customHeight="1">
      <c r="A91" s="388"/>
      <c r="B91" s="352"/>
      <c r="C91" s="10" t="s">
        <v>56</v>
      </c>
      <c r="D91" s="192" t="s">
        <v>115</v>
      </c>
      <c r="E91" s="204">
        <f t="shared" si="2"/>
        <v>4</v>
      </c>
      <c r="F91" s="163">
        <v>3</v>
      </c>
      <c r="G91" s="55"/>
      <c r="H91" s="152"/>
      <c r="I91" s="45"/>
      <c r="J91" s="46"/>
      <c r="K91" s="44"/>
      <c r="L91" s="376"/>
      <c r="M91" s="199"/>
      <c r="N91" s="170"/>
      <c r="O91" s="408"/>
      <c r="P91" s="349"/>
    </row>
    <row r="92" spans="1:16" ht="15.65" customHeight="1">
      <c r="A92" s="388"/>
      <c r="B92" s="352"/>
      <c r="C92" s="10" t="s">
        <v>53</v>
      </c>
      <c r="D92" s="192" t="s">
        <v>116</v>
      </c>
      <c r="E92" s="204">
        <f t="shared" si="2"/>
        <v>4</v>
      </c>
      <c r="F92" s="163">
        <v>3</v>
      </c>
      <c r="G92" s="55"/>
      <c r="H92" s="152"/>
      <c r="I92" s="45"/>
      <c r="J92" s="46"/>
      <c r="K92" s="44"/>
      <c r="L92" s="376"/>
      <c r="M92" s="199"/>
      <c r="N92" s="170"/>
      <c r="O92" s="408"/>
      <c r="P92" s="349"/>
    </row>
    <row r="93" spans="1:16" ht="15.65" customHeight="1">
      <c r="A93" s="388"/>
      <c r="B93" s="356"/>
      <c r="C93" s="20" t="s">
        <v>56</v>
      </c>
      <c r="D93" s="196" t="s">
        <v>117</v>
      </c>
      <c r="E93" s="159">
        <f t="shared" si="2"/>
        <v>4</v>
      </c>
      <c r="F93" s="159">
        <v>3</v>
      </c>
      <c r="G93" s="125"/>
      <c r="H93" s="153"/>
      <c r="I93" s="56"/>
      <c r="J93" s="57"/>
      <c r="K93" s="65"/>
      <c r="L93" s="376"/>
      <c r="M93" s="193"/>
      <c r="N93" s="107"/>
      <c r="O93" s="408"/>
      <c r="P93" s="349"/>
    </row>
    <row r="94" spans="1:16" ht="15.65" customHeight="1">
      <c r="A94" s="388"/>
      <c r="B94" s="368" t="s">
        <v>41</v>
      </c>
      <c r="C94" s="19" t="s">
        <v>53</v>
      </c>
      <c r="D94" s="194" t="s">
        <v>118</v>
      </c>
      <c r="E94" s="216">
        <f t="shared" si="2"/>
        <v>4</v>
      </c>
      <c r="F94" s="161">
        <v>3</v>
      </c>
      <c r="G94" s="124"/>
      <c r="H94" s="151"/>
      <c r="I94" s="15"/>
      <c r="J94" s="39"/>
      <c r="K94" s="225"/>
      <c r="L94" s="376"/>
      <c r="M94" s="200"/>
      <c r="N94" s="172"/>
      <c r="O94" s="408"/>
      <c r="P94" s="349"/>
    </row>
    <row r="95" spans="1:16" ht="15.65" customHeight="1">
      <c r="A95" s="388"/>
      <c r="B95" s="352"/>
      <c r="C95" s="10" t="s">
        <v>53</v>
      </c>
      <c r="D95" s="192" t="s">
        <v>119</v>
      </c>
      <c r="E95" s="204">
        <f t="shared" si="2"/>
        <v>4</v>
      </c>
      <c r="F95" s="163">
        <v>3</v>
      </c>
      <c r="G95" s="55"/>
      <c r="H95" s="152"/>
      <c r="I95" s="11"/>
      <c r="J95" s="43"/>
      <c r="K95" s="205"/>
      <c r="L95" s="376"/>
      <c r="M95" s="199"/>
      <c r="N95" s="170"/>
      <c r="O95" s="408"/>
      <c r="P95" s="349"/>
    </row>
    <row r="96" spans="1:16" ht="15.65" customHeight="1">
      <c r="A96" s="388"/>
      <c r="B96" s="352"/>
      <c r="C96" s="10" t="s">
        <v>53</v>
      </c>
      <c r="D96" s="192" t="s">
        <v>120</v>
      </c>
      <c r="E96" s="204">
        <f t="shared" si="2"/>
        <v>4</v>
      </c>
      <c r="F96" s="163">
        <v>3</v>
      </c>
      <c r="G96" s="55"/>
      <c r="H96" s="152"/>
      <c r="I96" s="11"/>
      <c r="J96" s="43"/>
      <c r="K96" s="205"/>
      <c r="L96" s="376"/>
      <c r="M96" s="199"/>
      <c r="N96" s="170"/>
      <c r="O96" s="408"/>
      <c r="P96" s="349"/>
    </row>
    <row r="97" spans="1:17" ht="15.65" customHeight="1">
      <c r="A97" s="388"/>
      <c r="B97" s="355" t="s">
        <v>68</v>
      </c>
      <c r="C97" s="19" t="s">
        <v>53</v>
      </c>
      <c r="D97" s="194" t="s">
        <v>121</v>
      </c>
      <c r="E97" s="216">
        <f t="shared" si="2"/>
        <v>4</v>
      </c>
      <c r="F97" s="161">
        <v>3</v>
      </c>
      <c r="G97" s="124"/>
      <c r="H97" s="145"/>
      <c r="I97" s="15"/>
      <c r="J97" s="16"/>
      <c r="K97" s="165"/>
      <c r="L97" s="376"/>
      <c r="M97" s="200"/>
      <c r="N97" s="79"/>
      <c r="O97" s="408"/>
      <c r="P97" s="349"/>
    </row>
    <row r="98" spans="1:17" ht="15.65" customHeight="1">
      <c r="A98" s="388"/>
      <c r="B98" s="356"/>
      <c r="C98" s="27" t="s">
        <v>53</v>
      </c>
      <c r="D98" s="196" t="s">
        <v>122</v>
      </c>
      <c r="E98" s="159">
        <f t="shared" si="2"/>
        <v>4</v>
      </c>
      <c r="F98" s="123">
        <v>3</v>
      </c>
      <c r="G98" s="125"/>
      <c r="H98" s="147"/>
      <c r="I98" s="21"/>
      <c r="J98" s="22"/>
      <c r="K98" s="64"/>
      <c r="L98" s="385"/>
      <c r="M98" s="193"/>
      <c r="N98" s="171"/>
      <c r="O98" s="408"/>
      <c r="P98" s="349"/>
    </row>
    <row r="99" spans="1:17" ht="15.65" customHeight="1">
      <c r="A99" s="388"/>
      <c r="B99" s="368" t="s">
        <v>59</v>
      </c>
      <c r="C99" s="19" t="s">
        <v>56</v>
      </c>
      <c r="D99" s="194" t="s">
        <v>104</v>
      </c>
      <c r="E99" s="216">
        <f t="shared" si="2"/>
        <v>3</v>
      </c>
      <c r="F99" s="158">
        <v>3</v>
      </c>
      <c r="G99" s="124"/>
      <c r="H99" s="145"/>
      <c r="I99" s="15"/>
      <c r="J99" s="16"/>
      <c r="K99" s="165"/>
      <c r="L99" s="425" t="s">
        <v>70</v>
      </c>
      <c r="M99" s="200"/>
      <c r="N99" s="79"/>
      <c r="O99" s="408"/>
      <c r="P99" s="349"/>
    </row>
    <row r="100" spans="1:17" ht="15.65" customHeight="1" thickBot="1">
      <c r="A100" s="388"/>
      <c r="B100" s="352"/>
      <c r="C100" s="10" t="s">
        <v>56</v>
      </c>
      <c r="D100" s="192" t="s">
        <v>102</v>
      </c>
      <c r="E100" s="204">
        <f t="shared" si="2"/>
        <v>3</v>
      </c>
      <c r="F100" s="184">
        <v>3</v>
      </c>
      <c r="G100" s="55"/>
      <c r="H100" s="146"/>
      <c r="I100" s="11"/>
      <c r="J100" s="12"/>
      <c r="K100" s="229"/>
      <c r="L100" s="385"/>
      <c r="M100" s="199"/>
      <c r="N100" s="170"/>
      <c r="O100" s="408"/>
      <c r="P100" s="349"/>
    </row>
    <row r="101" spans="1:17" ht="18" hidden="1" customHeight="1" thickBot="1">
      <c r="A101" s="226"/>
      <c r="B101" s="117"/>
      <c r="C101" s="134"/>
      <c r="D101" s="135"/>
      <c r="E101" s="121" t="str">
        <f t="shared" si="2"/>
        <v/>
      </c>
      <c r="F101" s="123"/>
      <c r="G101" s="133"/>
      <c r="H101" s="203"/>
      <c r="I101" s="30"/>
      <c r="J101" s="181"/>
      <c r="K101" s="117"/>
      <c r="L101" s="181"/>
      <c r="M101" s="29"/>
      <c r="N101" s="29"/>
      <c r="O101" s="186"/>
      <c r="P101" s="187"/>
    </row>
    <row r="102" spans="1:17" ht="17.25" customHeight="1">
      <c r="A102" s="381" t="s">
        <v>125</v>
      </c>
      <c r="B102" s="382"/>
      <c r="C102" s="382"/>
      <c r="D102" s="382"/>
      <c r="E102" s="383"/>
      <c r="F102" s="174">
        <v>174</v>
      </c>
      <c r="G102" s="67">
        <f>SUM(G7:G100)</f>
        <v>29</v>
      </c>
      <c r="H102" s="188">
        <f>SUM(H7:H101)</f>
        <v>29</v>
      </c>
      <c r="I102" s="67">
        <v>29</v>
      </c>
      <c r="J102" s="68">
        <v>29</v>
      </c>
      <c r="K102" s="69">
        <v>29</v>
      </c>
      <c r="L102" s="32">
        <v>29</v>
      </c>
      <c r="M102" s="174"/>
      <c r="N102" s="174"/>
      <c r="O102" s="31">
        <f>SUM(G102:L102)</f>
        <v>174</v>
      </c>
      <c r="P102" s="179">
        <f>SUM(P7:P100)</f>
        <v>84</v>
      </c>
      <c r="Q102" s="1"/>
    </row>
    <row r="103" spans="1:17" ht="15.65" customHeight="1">
      <c r="A103" s="355" t="s">
        <v>126</v>
      </c>
      <c r="B103" s="402"/>
      <c r="C103" s="402"/>
      <c r="D103" s="402"/>
      <c r="E103" s="403"/>
      <c r="F103" s="70">
        <v>18</v>
      </c>
      <c r="G103" s="30">
        <v>3</v>
      </c>
      <c r="H103" s="181">
        <v>3</v>
      </c>
      <c r="I103" s="180">
        <v>3</v>
      </c>
      <c r="J103" s="181">
        <v>3</v>
      </c>
      <c r="K103" s="180">
        <v>3</v>
      </c>
      <c r="L103" s="178">
        <v>3</v>
      </c>
      <c r="M103" s="91"/>
      <c r="N103" s="30"/>
      <c r="O103" s="30">
        <f>SUM(G103:L103)</f>
        <v>18</v>
      </c>
      <c r="P103" s="176">
        <v>18</v>
      </c>
    </row>
    <row r="104" spans="1:17" ht="15" customHeight="1">
      <c r="A104" s="355" t="s">
        <v>127</v>
      </c>
      <c r="B104" s="402"/>
      <c r="C104" s="402"/>
      <c r="D104" s="402"/>
      <c r="E104" s="402"/>
      <c r="F104" s="403"/>
      <c r="G104" s="71">
        <f t="shared" ref="G104:L104" si="3">SUM(G102:G103)</f>
        <v>32</v>
      </c>
      <c r="H104" s="72">
        <f t="shared" si="3"/>
        <v>32</v>
      </c>
      <c r="I104" s="71">
        <f t="shared" si="3"/>
        <v>32</v>
      </c>
      <c r="J104" s="72">
        <f t="shared" si="3"/>
        <v>32</v>
      </c>
      <c r="K104" s="71">
        <f t="shared" si="3"/>
        <v>32</v>
      </c>
      <c r="L104" s="72">
        <f t="shared" si="3"/>
        <v>32</v>
      </c>
      <c r="M104" s="70"/>
      <c r="N104" s="177"/>
      <c r="O104" s="386">
        <f>SUM(G104:M104)</f>
        <v>192</v>
      </c>
      <c r="P104" s="387"/>
    </row>
    <row r="105" spans="1:17" ht="15" customHeight="1">
      <c r="A105" s="355" t="s">
        <v>128</v>
      </c>
      <c r="B105" s="402"/>
      <c r="C105" s="402"/>
      <c r="D105" s="402"/>
      <c r="E105" s="402"/>
      <c r="F105" s="403"/>
      <c r="G105" s="177">
        <v>9</v>
      </c>
      <c r="H105" s="72">
        <v>9</v>
      </c>
      <c r="I105" s="71">
        <v>10</v>
      </c>
      <c r="J105" s="72">
        <v>10</v>
      </c>
      <c r="K105" s="71">
        <v>10</v>
      </c>
      <c r="L105" s="182">
        <v>10</v>
      </c>
      <c r="M105" s="70"/>
      <c r="N105" s="177"/>
      <c r="O105" s="400"/>
      <c r="P105" s="387"/>
    </row>
    <row r="106" spans="1:17" ht="17.25" customHeight="1" thickBot="1">
      <c r="A106" s="378" t="s">
        <v>129</v>
      </c>
      <c r="B106" s="410"/>
      <c r="C106" s="410"/>
      <c r="D106" s="410"/>
      <c r="E106" s="410"/>
      <c r="F106" s="354"/>
      <c r="G106" s="353">
        <f>SUM(G104:H104)</f>
        <v>64</v>
      </c>
      <c r="H106" s="354"/>
      <c r="I106" s="353">
        <f>SUM(I104:J104)</f>
        <v>64</v>
      </c>
      <c r="J106" s="354"/>
      <c r="K106" s="353">
        <f>SUM(K104:L104)</f>
        <v>64</v>
      </c>
      <c r="L106" s="354"/>
      <c r="M106" s="92"/>
      <c r="N106" s="166"/>
      <c r="O106" s="369">
        <f>SUM(G106:M106)</f>
        <v>192</v>
      </c>
      <c r="P106" s="406"/>
    </row>
    <row r="107" spans="1:17">
      <c r="A107" s="357" t="s">
        <v>148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9"/>
    </row>
    <row r="108" spans="1:17">
      <c r="A108" s="360"/>
      <c r="B108" s="361"/>
      <c r="C108" s="361"/>
      <c r="D108" s="361"/>
      <c r="E108" s="361"/>
      <c r="F108" s="361"/>
      <c r="G108" s="361"/>
      <c r="H108" s="361"/>
      <c r="I108" s="361"/>
      <c r="J108" s="361"/>
      <c r="K108" s="361"/>
      <c r="L108" s="361"/>
      <c r="M108" s="361"/>
      <c r="N108" s="361"/>
      <c r="O108" s="361"/>
      <c r="P108" s="362"/>
    </row>
    <row r="109" spans="1:17">
      <c r="A109" s="360"/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2"/>
    </row>
    <row r="110" spans="1:17">
      <c r="A110" s="360"/>
      <c r="B110" s="361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1"/>
      <c r="P110" s="362"/>
    </row>
    <row r="111" spans="1:17">
      <c r="A111" s="360"/>
      <c r="B111" s="361"/>
      <c r="C111" s="361"/>
      <c r="D111" s="361"/>
      <c r="E111" s="361"/>
      <c r="F111" s="361"/>
      <c r="G111" s="361"/>
      <c r="H111" s="361"/>
      <c r="I111" s="361"/>
      <c r="J111" s="361"/>
      <c r="K111" s="361"/>
      <c r="L111" s="361"/>
      <c r="M111" s="361"/>
      <c r="N111" s="361"/>
      <c r="O111" s="361"/>
      <c r="P111" s="362"/>
    </row>
    <row r="112" spans="1:17">
      <c r="A112" s="360"/>
      <c r="B112" s="361"/>
      <c r="C112" s="361"/>
      <c r="D112" s="361"/>
      <c r="E112" s="361"/>
      <c r="F112" s="361"/>
      <c r="G112" s="361"/>
      <c r="H112" s="361"/>
      <c r="I112" s="361"/>
      <c r="J112" s="361"/>
      <c r="K112" s="361"/>
      <c r="L112" s="361"/>
      <c r="M112" s="361"/>
      <c r="N112" s="361"/>
      <c r="O112" s="361"/>
      <c r="P112" s="362"/>
    </row>
    <row r="113" spans="1:19">
      <c r="A113" s="360"/>
      <c r="B113" s="361"/>
      <c r="C113" s="361"/>
      <c r="D113" s="361"/>
      <c r="E113" s="361"/>
      <c r="F113" s="361"/>
      <c r="G113" s="361"/>
      <c r="H113" s="361"/>
      <c r="I113" s="361"/>
      <c r="J113" s="361"/>
      <c r="K113" s="361"/>
      <c r="L113" s="361"/>
      <c r="M113" s="361"/>
      <c r="N113" s="361"/>
      <c r="O113" s="361"/>
      <c r="P113" s="362"/>
      <c r="S113" s="7"/>
    </row>
    <row r="114" spans="1:19">
      <c r="A114" s="360"/>
      <c r="B114" s="361"/>
      <c r="C114" s="361"/>
      <c r="D114" s="361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2"/>
    </row>
    <row r="115" spans="1:19" ht="15" customHeight="1" thickBot="1">
      <c r="A115" s="363"/>
      <c r="B115" s="364"/>
      <c r="C115" s="364"/>
      <c r="D115" s="364"/>
      <c r="E115" s="364"/>
      <c r="F115" s="364"/>
      <c r="G115" s="364"/>
      <c r="H115" s="364"/>
      <c r="I115" s="364"/>
      <c r="J115" s="364"/>
      <c r="K115" s="364"/>
      <c r="L115" s="364"/>
      <c r="M115" s="364"/>
      <c r="N115" s="364"/>
      <c r="O115" s="364"/>
      <c r="P115" s="365"/>
    </row>
  </sheetData>
  <mergeCells count="94">
    <mergeCell ref="O106:P106"/>
    <mergeCell ref="G3:H3"/>
    <mergeCell ref="I3:J3"/>
    <mergeCell ref="B65:B66"/>
    <mergeCell ref="O3:O5"/>
    <mergeCell ref="G4:G5"/>
    <mergeCell ref="I4:I5"/>
    <mergeCell ref="I43:I52"/>
    <mergeCell ref="B41:B42"/>
    <mergeCell ref="D3:D5"/>
    <mergeCell ref="B25:B28"/>
    <mergeCell ref="G106:H106"/>
    <mergeCell ref="B35:B38"/>
    <mergeCell ref="B44:B48"/>
    <mergeCell ref="B70:B71"/>
    <mergeCell ref="B72:B75"/>
    <mergeCell ref="A104:F104"/>
    <mergeCell ref="B88:B89"/>
    <mergeCell ref="A106:F106"/>
    <mergeCell ref="A43:A66"/>
    <mergeCell ref="A7:A42"/>
    <mergeCell ref="A102:E102"/>
    <mergeCell ref="B76:B79"/>
    <mergeCell ref="A107:P115"/>
    <mergeCell ref="K3:L3"/>
    <mergeCell ref="P41:P42"/>
    <mergeCell ref="P7:P11"/>
    <mergeCell ref="A105:F105"/>
    <mergeCell ref="B82:B83"/>
    <mergeCell ref="J65:J66"/>
    <mergeCell ref="A67:A100"/>
    <mergeCell ref="I53:I54"/>
    <mergeCell ref="C3:C5"/>
    <mergeCell ref="O35:O38"/>
    <mergeCell ref="B57:B60"/>
    <mergeCell ref="O21:O22"/>
    <mergeCell ref="K4:K5"/>
    <mergeCell ref="N3:N5"/>
    <mergeCell ref="O104:P104"/>
    <mergeCell ref="A1:P1"/>
    <mergeCell ref="B12:B16"/>
    <mergeCell ref="L99:L100"/>
    <mergeCell ref="L84:L98"/>
    <mergeCell ref="O23:O24"/>
    <mergeCell ref="P67:P100"/>
    <mergeCell ref="H4:H5"/>
    <mergeCell ref="A3:A5"/>
    <mergeCell ref="B99:B100"/>
    <mergeCell ref="F3:F5"/>
    <mergeCell ref="B49:B52"/>
    <mergeCell ref="J55:J64"/>
    <mergeCell ref="B21:B24"/>
    <mergeCell ref="P29:P34"/>
    <mergeCell ref="P12:P16"/>
    <mergeCell ref="O41:O42"/>
    <mergeCell ref="A2:D2"/>
    <mergeCell ref="B97:B98"/>
    <mergeCell ref="B90:B93"/>
    <mergeCell ref="M3:M5"/>
    <mergeCell ref="O12:O16"/>
    <mergeCell ref="B67:B68"/>
    <mergeCell ref="K2:P2"/>
    <mergeCell ref="B17:B20"/>
    <mergeCell ref="P17:P20"/>
    <mergeCell ref="O29:O34"/>
    <mergeCell ref="B3:B5"/>
    <mergeCell ref="B84:B85"/>
    <mergeCell ref="B53:B54"/>
    <mergeCell ref="O43:O66"/>
    <mergeCell ref="O25:O28"/>
    <mergeCell ref="B7:B11"/>
    <mergeCell ref="I106:J106"/>
    <mergeCell ref="B61:B64"/>
    <mergeCell ref="P23:P24"/>
    <mergeCell ref="J4:J5"/>
    <mergeCell ref="L4:L5"/>
    <mergeCell ref="E3:E5"/>
    <mergeCell ref="B94:B96"/>
    <mergeCell ref="K82:K83"/>
    <mergeCell ref="B80:B81"/>
    <mergeCell ref="K67:K81"/>
    <mergeCell ref="O7:O11"/>
    <mergeCell ref="P43:P66"/>
    <mergeCell ref="O17:O20"/>
    <mergeCell ref="P3:P5"/>
    <mergeCell ref="P25:P28"/>
    <mergeCell ref="K106:L106"/>
    <mergeCell ref="O105:P105"/>
    <mergeCell ref="B86:B87"/>
    <mergeCell ref="A103:E103"/>
    <mergeCell ref="P21:P22"/>
    <mergeCell ref="P35:P38"/>
    <mergeCell ref="O67:O100"/>
    <mergeCell ref="B29:B34"/>
  </mergeCells>
  <phoneticPr fontId="1" type="noConversion"/>
  <conditionalFormatting sqref="E7:E21">
    <cfRule type="expression" dxfId="14" priority="29">
      <formula>ISTEXT(E7)</formula>
    </cfRule>
  </conditionalFormatting>
  <conditionalFormatting sqref="E23:E41">
    <cfRule type="expression" dxfId="13" priority="25">
      <formula>ISTEXT(E23)</formula>
    </cfRule>
  </conditionalFormatting>
  <conditionalFormatting sqref="E43:E47">
    <cfRule type="expression" dxfId="12" priority="23">
      <formula>ISTEXT(E43)</formula>
    </cfRule>
  </conditionalFormatting>
  <conditionalFormatting sqref="E49:E53">
    <cfRule type="expression" dxfId="11" priority="21">
      <formula>ISTEXT(E49)</formula>
    </cfRule>
  </conditionalFormatting>
  <conditionalFormatting sqref="E55:E65">
    <cfRule type="expression" dxfId="10" priority="15">
      <formula>ISTEXT(E55)</formula>
    </cfRule>
  </conditionalFormatting>
  <conditionalFormatting sqref="E67">
    <cfRule type="expression" dxfId="9" priority="14">
      <formula>ISTEXT(E67)</formula>
    </cfRule>
  </conditionalFormatting>
  <conditionalFormatting sqref="E69:E70">
    <cfRule type="expression" dxfId="8" priority="12">
      <formula>ISTEXT(E69)</formula>
    </cfRule>
  </conditionalFormatting>
  <conditionalFormatting sqref="E72:E78">
    <cfRule type="expression" dxfId="7" priority="10">
      <formula>ISTEXT(E72)</formula>
    </cfRule>
  </conditionalFormatting>
  <conditionalFormatting sqref="E80">
    <cfRule type="expression" dxfId="6" priority="9">
      <formula>ISTEXT(E80)</formula>
    </cfRule>
  </conditionalFormatting>
  <conditionalFormatting sqref="E82:E84">
    <cfRule type="expression" dxfId="5" priority="1">
      <formula>ISTEXT(E82)</formula>
    </cfRule>
  </conditionalFormatting>
  <conditionalFormatting sqref="E86">
    <cfRule type="expression" dxfId="4" priority="6">
      <formula>ISTEXT(E86)</formula>
    </cfRule>
  </conditionalFormatting>
  <conditionalFormatting sqref="E88">
    <cfRule type="expression" dxfId="3" priority="5">
      <formula>ISTEXT(E88)</formula>
    </cfRule>
  </conditionalFormatting>
  <conditionalFormatting sqref="E90:E92">
    <cfRule type="expression" dxfId="2" priority="4">
      <formula>ISTEXT(E90)</formula>
    </cfRule>
  </conditionalFormatting>
  <conditionalFormatting sqref="E94:E97">
    <cfRule type="expression" dxfId="1" priority="2">
      <formula>ISTEXT(E94)</formula>
    </cfRule>
  </conditionalFormatting>
  <conditionalFormatting sqref="E99:E100">
    <cfRule type="expression" dxfId="0" priority="33">
      <formula>ISTEXT(E99)</formula>
    </cfRule>
  </conditionalFormatting>
  <dataValidations count="5">
    <dataValidation type="list" allowBlank="1" showInputMessage="1" showErrorMessage="1" sqref="B7:B82 B84:B99 B101" xr:uid="{00000000-0002-0000-0100-000000000000}">
      <formula1>교과군</formula1>
    </dataValidation>
    <dataValidation type="list" allowBlank="1" showInputMessage="1" sqref="N7:N100" xr:uid="{00000000-0002-0000-0100-000001000000}">
      <formula1>과목개설유형</formula1>
    </dataValidation>
    <dataValidation type="list" allowBlank="1" showInputMessage="1" sqref="M7:M101 N101" xr:uid="{00000000-0002-0000-0100-000002000000}">
      <formula1>비고</formula1>
    </dataValidation>
    <dataValidation type="list" allowBlank="1" showInputMessage="1" showErrorMessage="1" sqref="C29:C42 C53:C54 C65:C66 C80:C83 C97:C101" xr:uid="{00000000-0002-0000-0100-000003000000}">
      <formula1>과목유형2</formula1>
    </dataValidation>
    <dataValidation type="list" allowBlank="1" showInputMessage="1" showErrorMessage="1" sqref="C7:C28 C43:C52 C55:C64 C67:C79 C84:C96" xr:uid="{00000000-0002-0000-0100-000004000000}">
      <formula1>과목유형</formula1>
    </dataValidation>
  </dataValidations>
  <pageMargins left="0.19685039370078741" right="0.19685039370078741" top="0.19685039370078741" bottom="0.19685039370078741" header="0" footer="0"/>
  <pageSetup paperSize="12" scale="57" orientation="portrait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2.45"/>
  <cols>
    <col min="1" max="1" width="15.86328125" style="95" customWidth="1"/>
    <col min="2" max="3" width="10.59765625" style="95" customWidth="1"/>
    <col min="4" max="4" width="8.796875" style="95" customWidth="1"/>
    <col min="5" max="16384" width="8.796875" style="95"/>
  </cols>
  <sheetData>
    <row r="1" spans="1:39" ht="26.4" customHeight="1">
      <c r="A1" s="105" t="s">
        <v>2</v>
      </c>
      <c r="B1" s="106" t="s">
        <v>149</v>
      </c>
      <c r="C1" s="106" t="s">
        <v>150</v>
      </c>
      <c r="D1" s="93" t="s">
        <v>151</v>
      </c>
      <c r="E1" s="94" t="s">
        <v>152</v>
      </c>
      <c r="F1" s="94" t="s">
        <v>153</v>
      </c>
      <c r="G1" s="94" t="s">
        <v>154</v>
      </c>
      <c r="H1" s="94" t="s">
        <v>155</v>
      </c>
      <c r="I1" s="94" t="s">
        <v>156</v>
      </c>
      <c r="J1" s="94" t="s">
        <v>157</v>
      </c>
      <c r="K1" s="94" t="s">
        <v>158</v>
      </c>
      <c r="L1" s="94" t="s">
        <v>159</v>
      </c>
      <c r="M1" s="94" t="s">
        <v>160</v>
      </c>
      <c r="N1" s="94" t="s">
        <v>161</v>
      </c>
      <c r="O1" s="94" t="s">
        <v>162</v>
      </c>
      <c r="P1" s="94" t="s">
        <v>163</v>
      </c>
      <c r="Q1" s="94" t="s">
        <v>164</v>
      </c>
      <c r="R1" s="94" t="s">
        <v>165</v>
      </c>
      <c r="S1" s="94" t="s">
        <v>166</v>
      </c>
      <c r="T1" s="94" t="s">
        <v>167</v>
      </c>
      <c r="U1" s="94" t="s">
        <v>168</v>
      </c>
      <c r="V1" s="94" t="s">
        <v>169</v>
      </c>
      <c r="W1" s="94" t="s">
        <v>170</v>
      </c>
      <c r="X1" s="94" t="s">
        <v>171</v>
      </c>
      <c r="Y1" s="94" t="s">
        <v>172</v>
      </c>
      <c r="Z1" s="94" t="s">
        <v>173</v>
      </c>
      <c r="AA1" s="94" t="s">
        <v>174</v>
      </c>
      <c r="AB1" s="94" t="s">
        <v>175</v>
      </c>
      <c r="AC1" s="94" t="s">
        <v>176</v>
      </c>
      <c r="AD1" s="94" t="s">
        <v>177</v>
      </c>
      <c r="AE1" s="94" t="s">
        <v>178</v>
      </c>
      <c r="AF1" s="94" t="s">
        <v>179</v>
      </c>
      <c r="AG1" s="94" t="s">
        <v>180</v>
      </c>
      <c r="AH1" s="94" t="s">
        <v>181</v>
      </c>
      <c r="AI1" s="94" t="s">
        <v>182</v>
      </c>
      <c r="AJ1" s="94" t="s">
        <v>183</v>
      </c>
      <c r="AK1" s="94" t="s">
        <v>184</v>
      </c>
      <c r="AL1" s="94" t="s">
        <v>185</v>
      </c>
      <c r="AM1" s="94" t="s">
        <v>186</v>
      </c>
    </row>
    <row r="2" spans="1:39">
      <c r="A2" s="105" t="s">
        <v>17</v>
      </c>
      <c r="B2" s="105" t="s">
        <v>187</v>
      </c>
      <c r="C2" s="105" t="s">
        <v>151</v>
      </c>
      <c r="D2" s="93" t="s">
        <v>18</v>
      </c>
      <c r="E2" s="96" t="s">
        <v>19</v>
      </c>
      <c r="F2" s="96" t="s">
        <v>23</v>
      </c>
      <c r="G2" s="96" t="s">
        <v>87</v>
      </c>
      <c r="H2" s="96" t="s">
        <v>133</v>
      </c>
      <c r="I2" s="96" t="s">
        <v>26</v>
      </c>
      <c r="J2" s="96" t="s">
        <v>28</v>
      </c>
      <c r="K2" s="96" t="s">
        <v>72</v>
      </c>
      <c r="L2" s="96" t="s">
        <v>188</v>
      </c>
      <c r="M2" s="96" t="s">
        <v>32</v>
      </c>
      <c r="N2" s="96" t="s">
        <v>34</v>
      </c>
      <c r="O2" s="96" t="s">
        <v>112</v>
      </c>
      <c r="P2" s="96" t="s">
        <v>189</v>
      </c>
      <c r="Q2" s="96" t="s">
        <v>37</v>
      </c>
      <c r="R2" s="96" t="s">
        <v>136</v>
      </c>
      <c r="S2" s="97" t="s">
        <v>77</v>
      </c>
      <c r="T2" s="96" t="s">
        <v>116</v>
      </c>
      <c r="U2" s="96" t="s">
        <v>42</v>
      </c>
      <c r="V2" s="96" t="s">
        <v>46</v>
      </c>
      <c r="W2" s="96" t="s">
        <v>82</v>
      </c>
      <c r="X2" s="96" t="s">
        <v>118</v>
      </c>
      <c r="Y2" s="97" t="s">
        <v>51</v>
      </c>
      <c r="Z2" s="96" t="s">
        <v>190</v>
      </c>
      <c r="AA2" s="96" t="s">
        <v>54</v>
      </c>
      <c r="AB2" s="96" t="s">
        <v>62</v>
      </c>
      <c r="AC2" s="96" t="s">
        <v>104</v>
      </c>
      <c r="AD2" s="96" t="s">
        <v>140</v>
      </c>
      <c r="AE2" s="96" t="s">
        <v>191</v>
      </c>
      <c r="AF2" s="96" t="s">
        <v>192</v>
      </c>
      <c r="AG2" s="96" t="s">
        <v>193</v>
      </c>
      <c r="AH2" s="96" t="s">
        <v>194</v>
      </c>
      <c r="AI2" s="97" t="s">
        <v>195</v>
      </c>
      <c r="AJ2" s="96" t="s">
        <v>196</v>
      </c>
      <c r="AK2" s="96" t="s">
        <v>66</v>
      </c>
      <c r="AL2" s="97" t="s">
        <v>106</v>
      </c>
      <c r="AM2" s="96" t="s">
        <v>197</v>
      </c>
    </row>
    <row r="3" spans="1:39">
      <c r="A3" s="105" t="s">
        <v>25</v>
      </c>
      <c r="B3" s="105" t="s">
        <v>198</v>
      </c>
      <c r="C3" s="105" t="s">
        <v>151</v>
      </c>
      <c r="D3" s="93" t="s">
        <v>21</v>
      </c>
      <c r="E3" s="96" t="s">
        <v>20</v>
      </c>
      <c r="F3" s="96" t="s">
        <v>24</v>
      </c>
      <c r="G3" s="96" t="s">
        <v>107</v>
      </c>
      <c r="H3" s="96" t="s">
        <v>199</v>
      </c>
      <c r="I3" s="96" t="s">
        <v>27</v>
      </c>
      <c r="J3" s="96" t="s">
        <v>29</v>
      </c>
      <c r="K3" s="96" t="s">
        <v>88</v>
      </c>
      <c r="L3" s="96" t="s">
        <v>111</v>
      </c>
      <c r="M3" s="96" t="s">
        <v>33</v>
      </c>
      <c r="N3" s="97" t="s">
        <v>35</v>
      </c>
      <c r="O3" s="97" t="s">
        <v>200</v>
      </c>
      <c r="P3" s="96" t="s">
        <v>201</v>
      </c>
      <c r="Q3" s="96" t="s">
        <v>38</v>
      </c>
      <c r="R3" s="96" t="s">
        <v>135</v>
      </c>
      <c r="S3" s="96" t="s">
        <v>78</v>
      </c>
      <c r="T3" s="96" t="s">
        <v>79</v>
      </c>
      <c r="U3" s="96" t="s">
        <v>43</v>
      </c>
      <c r="V3" s="97" t="s">
        <v>47</v>
      </c>
      <c r="W3" s="96" t="s">
        <v>95</v>
      </c>
      <c r="X3" s="96" t="s">
        <v>119</v>
      </c>
      <c r="Y3" s="97" t="s">
        <v>52</v>
      </c>
      <c r="Z3" s="96" t="s">
        <v>57</v>
      </c>
      <c r="AA3" s="96" t="s">
        <v>55</v>
      </c>
      <c r="AB3" s="96" t="s">
        <v>60</v>
      </c>
      <c r="AC3" s="96" t="s">
        <v>124</v>
      </c>
      <c r="AD3" s="96" t="s">
        <v>139</v>
      </c>
      <c r="AE3" s="96" t="s">
        <v>64</v>
      </c>
      <c r="AF3" s="96" t="s">
        <v>202</v>
      </c>
      <c r="AG3" s="96" t="s">
        <v>203</v>
      </c>
      <c r="AH3" s="96" t="s">
        <v>204</v>
      </c>
      <c r="AI3" s="96" t="s">
        <v>205</v>
      </c>
      <c r="AJ3" s="96" t="s">
        <v>206</v>
      </c>
      <c r="AK3" s="96" t="s">
        <v>105</v>
      </c>
      <c r="AL3" s="96" t="s">
        <v>207</v>
      </c>
      <c r="AM3" s="96" t="s">
        <v>67</v>
      </c>
    </row>
    <row r="4" spans="1:39">
      <c r="A4" s="105" t="s">
        <v>31</v>
      </c>
      <c r="B4" s="105" t="s">
        <v>208</v>
      </c>
      <c r="C4" s="105" t="s">
        <v>151</v>
      </c>
      <c r="D4" s="93" t="s">
        <v>56</v>
      </c>
      <c r="E4" s="98"/>
      <c r="F4" s="96" t="s">
        <v>22</v>
      </c>
      <c r="G4" s="96" t="s">
        <v>209</v>
      </c>
      <c r="H4" s="96" t="s">
        <v>109</v>
      </c>
      <c r="I4" s="96" t="s">
        <v>210</v>
      </c>
      <c r="J4" s="96" t="s">
        <v>30</v>
      </c>
      <c r="K4" s="96" t="s">
        <v>110</v>
      </c>
      <c r="L4" s="96" t="s">
        <v>211</v>
      </c>
      <c r="M4" s="96" t="s">
        <v>212</v>
      </c>
      <c r="N4" s="96" t="s">
        <v>89</v>
      </c>
      <c r="O4" s="97" t="s">
        <v>90</v>
      </c>
      <c r="P4" s="96" t="s">
        <v>74</v>
      </c>
      <c r="Q4" s="96" t="s">
        <v>39</v>
      </c>
      <c r="R4" s="96" t="s">
        <v>75</v>
      </c>
      <c r="S4" s="96" t="s">
        <v>92</v>
      </c>
      <c r="T4" s="96" t="s">
        <v>114</v>
      </c>
      <c r="U4" s="96" t="s">
        <v>44</v>
      </c>
      <c r="V4" s="96" t="s">
        <v>48</v>
      </c>
      <c r="W4" s="96" t="s">
        <v>96</v>
      </c>
      <c r="X4" s="96" t="s">
        <v>120</v>
      </c>
      <c r="Z4" s="96" t="s">
        <v>58</v>
      </c>
      <c r="AB4" s="96" t="s">
        <v>213</v>
      </c>
      <c r="AC4" s="96" t="s">
        <v>102</v>
      </c>
      <c r="AF4" s="97" t="s">
        <v>131</v>
      </c>
      <c r="AG4" s="96" t="s">
        <v>214</v>
      </c>
      <c r="AH4" s="96" t="s">
        <v>215</v>
      </c>
      <c r="AI4" s="97" t="s">
        <v>216</v>
      </c>
      <c r="AJ4" s="96" t="s">
        <v>217</v>
      </c>
      <c r="AL4" s="97" t="s">
        <v>218</v>
      </c>
    </row>
    <row r="5" spans="1:39" ht="26.4" customHeight="1">
      <c r="A5" s="106" t="s">
        <v>36</v>
      </c>
      <c r="B5" s="105" t="s">
        <v>219</v>
      </c>
      <c r="C5" s="105" t="s">
        <v>151</v>
      </c>
      <c r="D5" s="93" t="s">
        <v>53</v>
      </c>
      <c r="E5" s="98"/>
      <c r="F5" s="98"/>
      <c r="G5" s="98"/>
      <c r="H5" s="98"/>
      <c r="I5" s="96" t="s">
        <v>220</v>
      </c>
      <c r="J5" s="98"/>
      <c r="K5" s="96" t="s">
        <v>221</v>
      </c>
      <c r="L5" s="98"/>
      <c r="M5" s="96" t="s">
        <v>222</v>
      </c>
      <c r="N5" s="99"/>
      <c r="O5" s="96" t="s">
        <v>113</v>
      </c>
      <c r="P5" s="99"/>
      <c r="Q5" s="96" t="s">
        <v>40</v>
      </c>
      <c r="R5" s="96" t="s">
        <v>76</v>
      </c>
      <c r="S5" s="96" t="s">
        <v>134</v>
      </c>
      <c r="T5" s="96" t="s">
        <v>223</v>
      </c>
      <c r="U5" s="96" t="s">
        <v>45</v>
      </c>
      <c r="V5" s="97" t="s">
        <v>49</v>
      </c>
      <c r="W5" s="96" t="s">
        <v>83</v>
      </c>
      <c r="AC5" s="96" t="s">
        <v>123</v>
      </c>
      <c r="AF5" s="97" t="s">
        <v>224</v>
      </c>
      <c r="AG5" s="96" t="s">
        <v>225</v>
      </c>
      <c r="AH5" s="96" t="s">
        <v>71</v>
      </c>
      <c r="AI5" s="96" t="s">
        <v>85</v>
      </c>
      <c r="AJ5" s="96" t="s">
        <v>122</v>
      </c>
      <c r="AL5" s="96" t="s">
        <v>226</v>
      </c>
    </row>
    <row r="6" spans="1:39">
      <c r="A6" s="105" t="s">
        <v>41</v>
      </c>
      <c r="B6" s="105" t="s">
        <v>227</v>
      </c>
      <c r="C6" s="105" t="s">
        <v>151</v>
      </c>
      <c r="E6" s="98"/>
      <c r="F6" s="98"/>
      <c r="G6" s="98"/>
      <c r="H6" s="98"/>
      <c r="I6" s="98"/>
      <c r="J6" s="98"/>
      <c r="K6" s="96" t="s">
        <v>228</v>
      </c>
      <c r="L6" s="98"/>
      <c r="M6" s="98"/>
      <c r="N6" s="98"/>
      <c r="O6" s="96" t="s">
        <v>229</v>
      </c>
      <c r="P6" s="99"/>
      <c r="S6" s="97" t="s">
        <v>137</v>
      </c>
      <c r="T6" s="96" t="s">
        <v>93</v>
      </c>
      <c r="W6" s="96" t="s">
        <v>97</v>
      </c>
      <c r="AG6" s="96" t="s">
        <v>230</v>
      </c>
      <c r="AH6" s="96" t="s">
        <v>69</v>
      </c>
      <c r="AI6" s="97" t="s">
        <v>84</v>
      </c>
      <c r="AJ6" s="96" t="s">
        <v>121</v>
      </c>
      <c r="AL6" s="97" t="s">
        <v>231</v>
      </c>
    </row>
    <row r="7" spans="1:39">
      <c r="A7" s="105" t="s">
        <v>50</v>
      </c>
      <c r="B7" s="105" t="s">
        <v>232</v>
      </c>
      <c r="C7" s="105" t="s">
        <v>233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100"/>
      <c r="P7" s="99"/>
      <c r="S7" s="97" t="s">
        <v>91</v>
      </c>
      <c r="T7" s="96" t="s">
        <v>94</v>
      </c>
      <c r="W7" s="96" t="s">
        <v>80</v>
      </c>
      <c r="AH7" s="96" t="s">
        <v>234</v>
      </c>
      <c r="AI7" s="96" t="s">
        <v>235</v>
      </c>
      <c r="AJ7" s="96" t="s">
        <v>236</v>
      </c>
      <c r="AL7" s="96" t="s">
        <v>237</v>
      </c>
    </row>
    <row r="8" spans="1:39">
      <c r="A8" s="105" t="s">
        <v>59</v>
      </c>
      <c r="B8" s="105" t="s">
        <v>238</v>
      </c>
      <c r="C8" s="105" t="s">
        <v>233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100"/>
      <c r="P8" s="98"/>
      <c r="S8" s="97" t="s">
        <v>138</v>
      </c>
      <c r="W8" s="96" t="s">
        <v>81</v>
      </c>
      <c r="AH8" s="96" t="s">
        <v>239</v>
      </c>
      <c r="AI8" s="97" t="s">
        <v>240</v>
      </c>
      <c r="AJ8" s="96" t="s">
        <v>241</v>
      </c>
    </row>
    <row r="9" spans="1:39">
      <c r="A9" s="105" t="s">
        <v>63</v>
      </c>
      <c r="B9" s="105" t="s">
        <v>242</v>
      </c>
      <c r="C9" s="105" t="s">
        <v>233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9"/>
      <c r="P9" s="98"/>
      <c r="S9" s="96" t="s">
        <v>115</v>
      </c>
      <c r="W9" s="96" t="s">
        <v>98</v>
      </c>
      <c r="AH9" s="96" t="s">
        <v>243</v>
      </c>
      <c r="AI9" s="96" t="s">
        <v>244</v>
      </c>
      <c r="AJ9" s="96" t="s">
        <v>245</v>
      </c>
    </row>
    <row r="10" spans="1:39">
      <c r="A10" s="105" t="s">
        <v>68</v>
      </c>
      <c r="B10" s="105" t="s">
        <v>246</v>
      </c>
      <c r="C10" s="105" t="s">
        <v>233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9"/>
      <c r="P10" s="98"/>
      <c r="S10" s="96" t="s">
        <v>117</v>
      </c>
      <c r="AH10" s="96" t="s">
        <v>247</v>
      </c>
      <c r="AI10" s="97" t="s">
        <v>248</v>
      </c>
      <c r="AJ10" s="96" t="s">
        <v>249</v>
      </c>
    </row>
    <row r="11" spans="1:39">
      <c r="A11" s="105" t="s">
        <v>65</v>
      </c>
      <c r="B11" s="105" t="s">
        <v>250</v>
      </c>
      <c r="C11" s="105" t="s">
        <v>233</v>
      </c>
      <c r="AI11" s="96" t="s">
        <v>251</v>
      </c>
    </row>
    <row r="12" spans="1:39">
      <c r="AI12" s="97" t="s">
        <v>252</v>
      </c>
    </row>
    <row r="13" spans="1:39">
      <c r="D13" s="103" t="s">
        <v>253</v>
      </c>
      <c r="E13" s="103" t="s">
        <v>254</v>
      </c>
      <c r="F13" s="103" t="s">
        <v>255</v>
      </c>
      <c r="G13" s="103" t="s">
        <v>256</v>
      </c>
      <c r="J13" s="167" t="s">
        <v>10</v>
      </c>
      <c r="K13" s="168" t="s">
        <v>11</v>
      </c>
      <c r="AI13" s="96" t="s">
        <v>101</v>
      </c>
    </row>
    <row r="14" spans="1:39">
      <c r="D14" s="101" t="s">
        <v>19</v>
      </c>
      <c r="E14" s="103">
        <v>4</v>
      </c>
      <c r="F14" s="103">
        <v>3</v>
      </c>
      <c r="G14" s="103">
        <v>4</v>
      </c>
      <c r="J14" s="167" t="s">
        <v>99</v>
      </c>
      <c r="K14" s="168" t="s">
        <v>257</v>
      </c>
      <c r="AI14" s="97" t="s">
        <v>100</v>
      </c>
    </row>
    <row r="15" spans="1:39">
      <c r="D15" s="101" t="s">
        <v>20</v>
      </c>
      <c r="E15" s="103">
        <v>4</v>
      </c>
      <c r="F15" s="103">
        <v>3</v>
      </c>
      <c r="G15" s="103">
        <v>4</v>
      </c>
      <c r="J15" s="167" t="s">
        <v>258</v>
      </c>
      <c r="K15" s="168" t="s">
        <v>259</v>
      </c>
      <c r="AI15" s="96" t="s">
        <v>260</v>
      </c>
    </row>
    <row r="16" spans="1:39">
      <c r="D16" s="101" t="s">
        <v>26</v>
      </c>
      <c r="E16" s="103">
        <v>4</v>
      </c>
      <c r="F16" s="103">
        <v>3</v>
      </c>
      <c r="G16" s="103">
        <v>4</v>
      </c>
      <c r="J16" s="167" t="s">
        <v>261</v>
      </c>
      <c r="K16" s="168" t="s">
        <v>262</v>
      </c>
      <c r="AI16" s="97" t="s">
        <v>263</v>
      </c>
    </row>
    <row r="17" spans="4:35">
      <c r="D17" s="101" t="s">
        <v>27</v>
      </c>
      <c r="E17" s="103">
        <v>4</v>
      </c>
      <c r="F17" s="103">
        <v>3</v>
      </c>
      <c r="G17" s="103">
        <v>4</v>
      </c>
      <c r="J17" s="167" t="s">
        <v>264</v>
      </c>
      <c r="AI17" s="96" t="s">
        <v>265</v>
      </c>
    </row>
    <row r="18" spans="4:35">
      <c r="D18" s="101" t="s">
        <v>210</v>
      </c>
      <c r="E18" s="103">
        <v>4</v>
      </c>
      <c r="F18" s="103">
        <v>3</v>
      </c>
      <c r="G18" s="103">
        <v>4</v>
      </c>
      <c r="J18" s="167" t="s">
        <v>266</v>
      </c>
      <c r="K18" s="213"/>
      <c r="AI18" s="96" t="s">
        <v>267</v>
      </c>
    </row>
    <row r="19" spans="4:35">
      <c r="D19" s="101" t="s">
        <v>220</v>
      </c>
      <c r="E19" s="103">
        <v>4</v>
      </c>
      <c r="F19" s="103">
        <v>3</v>
      </c>
      <c r="G19" s="103">
        <v>4</v>
      </c>
      <c r="J19" s="167" t="s">
        <v>268</v>
      </c>
      <c r="K19" s="213"/>
    </row>
    <row r="20" spans="4:35">
      <c r="D20" s="101" t="s">
        <v>32</v>
      </c>
      <c r="E20" s="103">
        <v>4</v>
      </c>
      <c r="F20" s="103">
        <v>3</v>
      </c>
      <c r="G20" s="103">
        <v>4</v>
      </c>
      <c r="J20" s="167" t="s">
        <v>269</v>
      </c>
      <c r="K20" s="213"/>
    </row>
    <row r="21" spans="4:35">
      <c r="D21" s="101" t="s">
        <v>33</v>
      </c>
      <c r="E21" s="103">
        <v>4</v>
      </c>
      <c r="F21" s="103">
        <v>3</v>
      </c>
      <c r="G21" s="103">
        <v>4</v>
      </c>
      <c r="J21" s="167" t="s">
        <v>270</v>
      </c>
      <c r="K21" s="213"/>
    </row>
    <row r="22" spans="4:35">
      <c r="D22" s="101" t="s">
        <v>212</v>
      </c>
      <c r="E22" s="103">
        <v>4</v>
      </c>
      <c r="F22" s="103">
        <v>3</v>
      </c>
      <c r="G22" s="103">
        <v>4</v>
      </c>
      <c r="J22" s="167"/>
      <c r="K22" s="214"/>
    </row>
    <row r="23" spans="4:35">
      <c r="D23" s="101" t="s">
        <v>222</v>
      </c>
      <c r="E23" s="103">
        <v>4</v>
      </c>
      <c r="F23" s="103">
        <v>3</v>
      </c>
      <c r="G23" s="103">
        <v>4</v>
      </c>
    </row>
    <row r="24" spans="4:35">
      <c r="D24" s="101" t="s">
        <v>37</v>
      </c>
      <c r="E24" s="103">
        <v>3</v>
      </c>
      <c r="F24" s="103">
        <v>3</v>
      </c>
      <c r="G24" s="103">
        <v>3</v>
      </c>
    </row>
    <row r="25" spans="4:35">
      <c r="D25" s="101" t="s">
        <v>38</v>
      </c>
      <c r="E25" s="103">
        <v>3</v>
      </c>
      <c r="F25" s="103">
        <v>3</v>
      </c>
      <c r="G25" s="103">
        <v>3</v>
      </c>
    </row>
    <row r="26" spans="4:35">
      <c r="D26" s="101" t="s">
        <v>39</v>
      </c>
      <c r="E26" s="103">
        <v>4</v>
      </c>
      <c r="F26" s="103">
        <v>3</v>
      </c>
      <c r="G26" s="103">
        <v>4</v>
      </c>
    </row>
    <row r="27" spans="4:35">
      <c r="D27" s="101" t="s">
        <v>40</v>
      </c>
      <c r="E27" s="103">
        <v>4</v>
      </c>
      <c r="F27" s="103">
        <v>3</v>
      </c>
      <c r="G27" s="103">
        <v>4</v>
      </c>
    </row>
    <row r="28" spans="4:35">
      <c r="D28" s="101" t="s">
        <v>42</v>
      </c>
      <c r="E28" s="103">
        <v>4</v>
      </c>
      <c r="F28" s="103">
        <v>3</v>
      </c>
      <c r="G28" s="103">
        <v>4</v>
      </c>
    </row>
    <row r="29" spans="4:35">
      <c r="D29" s="101" t="s">
        <v>43</v>
      </c>
      <c r="E29" s="103">
        <v>4</v>
      </c>
      <c r="F29" s="103">
        <v>3</v>
      </c>
      <c r="G29" s="103">
        <v>4</v>
      </c>
    </row>
    <row r="30" spans="4:35">
      <c r="D30" s="101" t="s">
        <v>44</v>
      </c>
      <c r="E30" s="103">
        <v>1</v>
      </c>
      <c r="F30" s="103">
        <v>1</v>
      </c>
      <c r="G30" s="103">
        <v>1</v>
      </c>
    </row>
    <row r="31" spans="4:35">
      <c r="D31" s="101" t="s">
        <v>45</v>
      </c>
      <c r="E31" s="103">
        <v>1</v>
      </c>
      <c r="F31" s="103">
        <v>1</v>
      </c>
      <c r="G31" s="103">
        <v>1</v>
      </c>
    </row>
    <row r="32" spans="4:35">
      <c r="D32" s="101" t="s">
        <v>23</v>
      </c>
      <c r="E32" s="103">
        <v>4</v>
      </c>
      <c r="F32" s="103">
        <v>3</v>
      </c>
      <c r="G32" s="103">
        <v>5</v>
      </c>
    </row>
    <row r="33" spans="4:7">
      <c r="D33" s="101" t="s">
        <v>24</v>
      </c>
      <c r="E33" s="103">
        <v>4</v>
      </c>
      <c r="F33" s="103">
        <v>3</v>
      </c>
      <c r="G33" s="103">
        <v>5</v>
      </c>
    </row>
    <row r="34" spans="4:7">
      <c r="D34" s="101" t="s">
        <v>22</v>
      </c>
      <c r="E34" s="103">
        <v>4</v>
      </c>
      <c r="F34" s="103">
        <v>3</v>
      </c>
      <c r="G34" s="103">
        <v>5</v>
      </c>
    </row>
    <row r="35" spans="4:7">
      <c r="D35" s="101" t="s">
        <v>28</v>
      </c>
      <c r="E35" s="103">
        <v>4</v>
      </c>
      <c r="F35" s="103">
        <v>3</v>
      </c>
      <c r="G35" s="103">
        <v>5</v>
      </c>
    </row>
    <row r="36" spans="4:7">
      <c r="D36" s="101" t="s">
        <v>29</v>
      </c>
      <c r="E36" s="103">
        <v>4</v>
      </c>
      <c r="F36" s="103">
        <v>3</v>
      </c>
      <c r="G36" s="103">
        <v>5</v>
      </c>
    </row>
    <row r="37" spans="4:7">
      <c r="D37" s="101" t="s">
        <v>30</v>
      </c>
      <c r="E37" s="103">
        <v>4</v>
      </c>
      <c r="F37" s="103">
        <v>3</v>
      </c>
      <c r="G37" s="103">
        <v>5</v>
      </c>
    </row>
    <row r="38" spans="4:7">
      <c r="D38" s="101" t="s">
        <v>34</v>
      </c>
      <c r="E38" s="103">
        <v>4</v>
      </c>
      <c r="F38" s="103">
        <v>3</v>
      </c>
      <c r="G38" s="103">
        <v>5</v>
      </c>
    </row>
    <row r="39" spans="4:7">
      <c r="D39" s="102" t="s">
        <v>35</v>
      </c>
      <c r="E39" s="103">
        <v>4</v>
      </c>
      <c r="F39" s="103">
        <v>3</v>
      </c>
      <c r="G39" s="103">
        <v>5</v>
      </c>
    </row>
    <row r="40" spans="4:7">
      <c r="D40" s="101" t="s">
        <v>89</v>
      </c>
      <c r="E40" s="103">
        <v>4</v>
      </c>
      <c r="F40" s="103">
        <v>3</v>
      </c>
      <c r="G40" s="103">
        <v>5</v>
      </c>
    </row>
    <row r="41" spans="4:7">
      <c r="D41" s="101" t="s">
        <v>136</v>
      </c>
      <c r="E41" s="103">
        <v>4</v>
      </c>
      <c r="F41" s="103">
        <v>3</v>
      </c>
      <c r="G41" s="103">
        <v>5</v>
      </c>
    </row>
    <row r="42" spans="4:7">
      <c r="D42" s="101" t="s">
        <v>135</v>
      </c>
      <c r="E42" s="103">
        <v>4</v>
      </c>
      <c r="F42" s="103">
        <v>3</v>
      </c>
      <c r="G42" s="103">
        <v>5</v>
      </c>
    </row>
    <row r="43" spans="4:7">
      <c r="D43" s="101" t="s">
        <v>75</v>
      </c>
      <c r="E43" s="103">
        <v>4</v>
      </c>
      <c r="F43" s="103">
        <v>3</v>
      </c>
      <c r="G43" s="103">
        <v>5</v>
      </c>
    </row>
    <row r="44" spans="4:7">
      <c r="D44" s="101" t="s">
        <v>76</v>
      </c>
      <c r="E44" s="103">
        <v>4</v>
      </c>
      <c r="F44" s="103">
        <v>3</v>
      </c>
      <c r="G44" s="103">
        <v>5</v>
      </c>
    </row>
    <row r="45" spans="4:7">
      <c r="D45" s="101" t="s">
        <v>46</v>
      </c>
      <c r="E45" s="103">
        <v>4</v>
      </c>
      <c r="F45" s="103">
        <v>3</v>
      </c>
      <c r="G45" s="103">
        <v>5</v>
      </c>
    </row>
    <row r="46" spans="4:7">
      <c r="D46" s="102" t="s">
        <v>47</v>
      </c>
      <c r="E46" s="103">
        <v>4</v>
      </c>
      <c r="F46" s="103">
        <v>3</v>
      </c>
      <c r="G46" s="103">
        <v>5</v>
      </c>
    </row>
    <row r="47" spans="4:7">
      <c r="D47" s="101" t="s">
        <v>48</v>
      </c>
      <c r="E47" s="103">
        <v>4</v>
      </c>
      <c r="F47" s="103">
        <v>3</v>
      </c>
      <c r="G47" s="103">
        <v>5</v>
      </c>
    </row>
    <row r="48" spans="4:7">
      <c r="D48" s="102" t="s">
        <v>49</v>
      </c>
      <c r="E48" s="103">
        <v>4</v>
      </c>
      <c r="F48" s="103">
        <v>3</v>
      </c>
      <c r="G48" s="103">
        <v>5</v>
      </c>
    </row>
    <row r="49" spans="4:7">
      <c r="D49" s="102" t="s">
        <v>51</v>
      </c>
      <c r="E49" s="103">
        <v>3</v>
      </c>
      <c r="F49" s="103">
        <v>2</v>
      </c>
      <c r="G49" s="103">
        <v>4</v>
      </c>
    </row>
    <row r="50" spans="4:7">
      <c r="D50" s="102" t="s">
        <v>52</v>
      </c>
      <c r="E50" s="103">
        <v>3</v>
      </c>
      <c r="F50" s="103">
        <v>2</v>
      </c>
      <c r="G50" s="103">
        <v>4</v>
      </c>
    </row>
    <row r="51" spans="4:7">
      <c r="D51" s="101" t="s">
        <v>62</v>
      </c>
      <c r="E51" s="103">
        <v>3</v>
      </c>
      <c r="F51" s="103">
        <v>2</v>
      </c>
      <c r="G51" s="103">
        <v>4</v>
      </c>
    </row>
    <row r="52" spans="4:7">
      <c r="D52" s="101" t="s">
        <v>60</v>
      </c>
      <c r="E52" s="103">
        <v>3</v>
      </c>
      <c r="F52" s="103">
        <v>2</v>
      </c>
      <c r="G52" s="103">
        <v>4</v>
      </c>
    </row>
    <row r="53" spans="4:7">
      <c r="D53" s="101" t="s">
        <v>213</v>
      </c>
      <c r="E53" s="103">
        <v>3</v>
      </c>
      <c r="F53" s="103">
        <v>2</v>
      </c>
      <c r="G53" s="103">
        <v>4</v>
      </c>
    </row>
    <row r="54" spans="4:7">
      <c r="D54" s="101" t="s">
        <v>191</v>
      </c>
      <c r="E54" s="103">
        <v>4</v>
      </c>
      <c r="F54" s="103">
        <v>3</v>
      </c>
      <c r="G54" s="103">
        <v>5</v>
      </c>
    </row>
    <row r="55" spans="4:7">
      <c r="D55" s="101" t="s">
        <v>64</v>
      </c>
      <c r="E55" s="103">
        <v>4</v>
      </c>
      <c r="F55" s="103">
        <v>3</v>
      </c>
      <c r="G55" s="103">
        <v>5</v>
      </c>
    </row>
    <row r="56" spans="4:7">
      <c r="D56" s="101" t="s">
        <v>194</v>
      </c>
      <c r="E56" s="103">
        <v>4</v>
      </c>
      <c r="F56" s="103">
        <v>3</v>
      </c>
      <c r="G56" s="103">
        <v>5</v>
      </c>
    </row>
    <row r="57" spans="4:7">
      <c r="D57" s="101" t="s">
        <v>204</v>
      </c>
      <c r="E57" s="103">
        <v>4</v>
      </c>
      <c r="F57" s="103">
        <v>3</v>
      </c>
      <c r="G57" s="103">
        <v>5</v>
      </c>
    </row>
    <row r="58" spans="4:7">
      <c r="D58" s="101" t="s">
        <v>215</v>
      </c>
      <c r="E58" s="103">
        <v>4</v>
      </c>
      <c r="F58" s="103">
        <v>3</v>
      </c>
      <c r="G58" s="103">
        <v>5</v>
      </c>
    </row>
    <row r="59" spans="4:7">
      <c r="D59" s="101" t="s">
        <v>71</v>
      </c>
      <c r="E59" s="103">
        <v>4</v>
      </c>
      <c r="F59" s="103">
        <v>3</v>
      </c>
      <c r="G59" s="103">
        <v>5</v>
      </c>
    </row>
    <row r="60" spans="4:7">
      <c r="D60" s="101" t="s">
        <v>69</v>
      </c>
      <c r="E60" s="103">
        <v>4</v>
      </c>
      <c r="F60" s="103">
        <v>3</v>
      </c>
      <c r="G60" s="103">
        <v>5</v>
      </c>
    </row>
    <row r="61" spans="4:7">
      <c r="D61" s="101" t="s">
        <v>234</v>
      </c>
      <c r="E61" s="103">
        <v>4</v>
      </c>
      <c r="F61" s="103">
        <v>3</v>
      </c>
      <c r="G61" s="103">
        <v>5</v>
      </c>
    </row>
    <row r="62" spans="4:7">
      <c r="D62" s="101" t="s">
        <v>239</v>
      </c>
      <c r="E62" s="103">
        <v>4</v>
      </c>
      <c r="F62" s="103">
        <v>3</v>
      </c>
      <c r="G62" s="103">
        <v>5</v>
      </c>
    </row>
    <row r="63" spans="4:7">
      <c r="D63" s="101" t="s">
        <v>243</v>
      </c>
      <c r="E63" s="103">
        <v>4</v>
      </c>
      <c r="F63" s="103">
        <v>3</v>
      </c>
      <c r="G63" s="103">
        <v>5</v>
      </c>
    </row>
    <row r="64" spans="4:7">
      <c r="D64" s="101" t="s">
        <v>247</v>
      </c>
      <c r="E64" s="103">
        <v>4</v>
      </c>
      <c r="F64" s="103">
        <v>3</v>
      </c>
      <c r="G64" s="103">
        <v>5</v>
      </c>
    </row>
    <row r="65" spans="4:7">
      <c r="D65" s="101" t="s">
        <v>66</v>
      </c>
      <c r="E65" s="103">
        <v>3</v>
      </c>
      <c r="F65" s="103">
        <v>2</v>
      </c>
      <c r="G65" s="103">
        <v>4</v>
      </c>
    </row>
    <row r="66" spans="4:7">
      <c r="D66" s="101" t="s">
        <v>105</v>
      </c>
      <c r="E66" s="103">
        <v>3</v>
      </c>
      <c r="F66" s="103">
        <v>2</v>
      </c>
      <c r="G66" s="103">
        <v>4</v>
      </c>
    </row>
    <row r="67" spans="4:7">
      <c r="D67" s="101" t="s">
        <v>87</v>
      </c>
      <c r="E67" s="103">
        <v>4</v>
      </c>
      <c r="F67" s="103">
        <v>3</v>
      </c>
      <c r="G67" s="103">
        <v>5</v>
      </c>
    </row>
    <row r="68" spans="4:7">
      <c r="D68" s="101" t="s">
        <v>107</v>
      </c>
      <c r="E68" s="103">
        <v>4</v>
      </c>
      <c r="F68" s="103">
        <v>3</v>
      </c>
      <c r="G68" s="103">
        <v>5</v>
      </c>
    </row>
    <row r="69" spans="4:7">
      <c r="D69" s="101" t="s">
        <v>209</v>
      </c>
      <c r="E69" s="103">
        <v>4</v>
      </c>
      <c r="F69" s="103">
        <v>3</v>
      </c>
      <c r="G69" s="103">
        <v>5</v>
      </c>
    </row>
    <row r="70" spans="4:7">
      <c r="D70" s="101" t="s">
        <v>72</v>
      </c>
      <c r="E70" s="103">
        <v>4</v>
      </c>
      <c r="F70" s="103">
        <v>3</v>
      </c>
      <c r="G70" s="103">
        <v>5</v>
      </c>
    </row>
    <row r="71" spans="4:7">
      <c r="D71" s="101" t="s">
        <v>88</v>
      </c>
      <c r="E71" s="103">
        <v>4</v>
      </c>
      <c r="F71" s="103">
        <v>3</v>
      </c>
      <c r="G71" s="103">
        <v>5</v>
      </c>
    </row>
    <row r="72" spans="4:7">
      <c r="D72" s="101" t="s">
        <v>110</v>
      </c>
      <c r="E72" s="103">
        <v>4</v>
      </c>
      <c r="F72" s="103">
        <v>3</v>
      </c>
      <c r="G72" s="103">
        <v>5</v>
      </c>
    </row>
    <row r="73" spans="4:7">
      <c r="D73" s="101" t="s">
        <v>221</v>
      </c>
      <c r="E73" s="103">
        <v>4</v>
      </c>
      <c r="F73" s="103">
        <v>3</v>
      </c>
      <c r="G73" s="103">
        <v>5</v>
      </c>
    </row>
    <row r="74" spans="4:7">
      <c r="D74" s="101" t="s">
        <v>228</v>
      </c>
      <c r="E74" s="103">
        <v>4</v>
      </c>
      <c r="F74" s="103">
        <v>3</v>
      </c>
      <c r="G74" s="103">
        <v>5</v>
      </c>
    </row>
    <row r="75" spans="4:7">
      <c r="D75" s="101" t="s">
        <v>112</v>
      </c>
      <c r="E75" s="103">
        <v>4</v>
      </c>
      <c r="F75" s="103">
        <v>3</v>
      </c>
      <c r="G75" s="103">
        <v>5</v>
      </c>
    </row>
    <row r="76" spans="4:7">
      <c r="D76" s="102" t="s">
        <v>200</v>
      </c>
      <c r="E76" s="103">
        <v>4</v>
      </c>
      <c r="F76" s="103">
        <v>3</v>
      </c>
      <c r="G76" s="103">
        <v>5</v>
      </c>
    </row>
    <row r="77" spans="4:7">
      <c r="D77" s="102" t="s">
        <v>90</v>
      </c>
      <c r="E77" s="103">
        <v>4</v>
      </c>
      <c r="F77" s="103">
        <v>3</v>
      </c>
      <c r="G77" s="103">
        <v>5</v>
      </c>
    </row>
    <row r="78" spans="4:7">
      <c r="D78" s="101" t="s">
        <v>113</v>
      </c>
      <c r="E78" s="103">
        <v>4</v>
      </c>
      <c r="F78" s="103">
        <v>3</v>
      </c>
      <c r="G78" s="103">
        <v>5</v>
      </c>
    </row>
    <row r="79" spans="4:7">
      <c r="D79" s="101" t="s">
        <v>229</v>
      </c>
      <c r="E79" s="103">
        <v>4</v>
      </c>
      <c r="F79" s="103">
        <v>3</v>
      </c>
      <c r="G79" s="103">
        <v>5</v>
      </c>
    </row>
    <row r="80" spans="4:7">
      <c r="D80" s="102" t="s">
        <v>77</v>
      </c>
      <c r="E80" s="103">
        <v>4</v>
      </c>
      <c r="F80" s="103">
        <v>3</v>
      </c>
      <c r="G80" s="103">
        <v>5</v>
      </c>
    </row>
    <row r="81" spans="4:7">
      <c r="D81" s="101" t="s">
        <v>78</v>
      </c>
      <c r="E81" s="103">
        <v>4</v>
      </c>
      <c r="F81" s="103">
        <v>3</v>
      </c>
      <c r="G81" s="103">
        <v>5</v>
      </c>
    </row>
    <row r="82" spans="4:7">
      <c r="D82" s="101" t="s">
        <v>92</v>
      </c>
      <c r="E82" s="103">
        <v>4</v>
      </c>
      <c r="F82" s="103">
        <v>3</v>
      </c>
      <c r="G82" s="103">
        <v>5</v>
      </c>
    </row>
    <row r="83" spans="4:7">
      <c r="D83" s="101" t="s">
        <v>134</v>
      </c>
      <c r="E83" s="103">
        <v>4</v>
      </c>
      <c r="F83" s="103">
        <v>3</v>
      </c>
      <c r="G83" s="103">
        <v>5</v>
      </c>
    </row>
    <row r="84" spans="4:7">
      <c r="D84" s="102" t="s">
        <v>137</v>
      </c>
      <c r="E84" s="103">
        <v>4</v>
      </c>
      <c r="F84" s="103">
        <v>3</v>
      </c>
      <c r="G84" s="103">
        <v>5</v>
      </c>
    </row>
    <row r="85" spans="4:7">
      <c r="D85" s="102" t="s">
        <v>91</v>
      </c>
      <c r="E85" s="103">
        <v>4</v>
      </c>
      <c r="F85" s="103">
        <v>3</v>
      </c>
      <c r="G85" s="103">
        <v>5</v>
      </c>
    </row>
    <row r="86" spans="4:7">
      <c r="D86" s="102" t="s">
        <v>138</v>
      </c>
      <c r="E86" s="103">
        <v>4</v>
      </c>
      <c r="F86" s="103">
        <v>3</v>
      </c>
      <c r="G86" s="103">
        <v>5</v>
      </c>
    </row>
    <row r="87" spans="4:7">
      <c r="D87" s="101" t="s">
        <v>115</v>
      </c>
      <c r="E87" s="103">
        <v>4</v>
      </c>
      <c r="F87" s="103">
        <v>3</v>
      </c>
      <c r="G87" s="103">
        <v>5</v>
      </c>
    </row>
    <row r="88" spans="4:7">
      <c r="D88" s="101" t="s">
        <v>117</v>
      </c>
      <c r="E88" s="103">
        <v>4</v>
      </c>
      <c r="F88" s="103">
        <v>3</v>
      </c>
      <c r="G88" s="103">
        <v>5</v>
      </c>
    </row>
    <row r="89" spans="4:7">
      <c r="D89" s="101" t="s">
        <v>82</v>
      </c>
      <c r="E89" s="103">
        <v>4</v>
      </c>
      <c r="F89" s="103">
        <v>3</v>
      </c>
      <c r="G89" s="103">
        <v>5</v>
      </c>
    </row>
    <row r="90" spans="4:7">
      <c r="D90" s="101" t="s">
        <v>95</v>
      </c>
      <c r="E90" s="103">
        <v>4</v>
      </c>
      <c r="F90" s="103">
        <v>3</v>
      </c>
      <c r="G90" s="103">
        <v>5</v>
      </c>
    </row>
    <row r="91" spans="4:7">
      <c r="D91" s="101" t="s">
        <v>96</v>
      </c>
      <c r="E91" s="103">
        <v>4</v>
      </c>
      <c r="F91" s="103">
        <v>3</v>
      </c>
      <c r="G91" s="103">
        <v>5</v>
      </c>
    </row>
    <row r="92" spans="4:7">
      <c r="D92" s="101" t="s">
        <v>83</v>
      </c>
      <c r="E92" s="103">
        <v>4</v>
      </c>
      <c r="F92" s="103">
        <v>3</v>
      </c>
      <c r="G92" s="103">
        <v>5</v>
      </c>
    </row>
    <row r="93" spans="4:7">
      <c r="D93" s="101" t="s">
        <v>97</v>
      </c>
      <c r="E93" s="103">
        <v>4</v>
      </c>
      <c r="F93" s="103">
        <v>3</v>
      </c>
      <c r="G93" s="103">
        <v>5</v>
      </c>
    </row>
    <row r="94" spans="4:7">
      <c r="D94" s="101" t="s">
        <v>80</v>
      </c>
      <c r="E94" s="103">
        <v>4</v>
      </c>
      <c r="F94" s="103">
        <v>3</v>
      </c>
      <c r="G94" s="103">
        <v>5</v>
      </c>
    </row>
    <row r="95" spans="4:7">
      <c r="D95" s="101" t="s">
        <v>81</v>
      </c>
      <c r="E95" s="103">
        <v>4</v>
      </c>
      <c r="F95" s="103">
        <v>3</v>
      </c>
      <c r="G95" s="103">
        <v>5</v>
      </c>
    </row>
    <row r="96" spans="4:7">
      <c r="D96" s="101" t="s">
        <v>98</v>
      </c>
      <c r="E96" s="103">
        <v>4</v>
      </c>
      <c r="F96" s="103">
        <v>3</v>
      </c>
      <c r="G96" s="103">
        <v>5</v>
      </c>
    </row>
    <row r="97" spans="4:7">
      <c r="D97" s="101" t="s">
        <v>190</v>
      </c>
      <c r="E97" s="103">
        <v>3</v>
      </c>
      <c r="F97" s="103">
        <v>2</v>
      </c>
      <c r="G97" s="103">
        <v>4</v>
      </c>
    </row>
    <row r="98" spans="4:7">
      <c r="D98" s="101" t="s">
        <v>57</v>
      </c>
      <c r="E98" s="104">
        <v>2</v>
      </c>
      <c r="F98" s="104">
        <v>1</v>
      </c>
      <c r="G98" s="104">
        <v>2</v>
      </c>
    </row>
    <row r="99" spans="4:7">
      <c r="D99" s="101" t="s">
        <v>58</v>
      </c>
      <c r="E99" s="104">
        <v>2</v>
      </c>
      <c r="F99" s="104">
        <v>1</v>
      </c>
      <c r="G99" s="104">
        <v>2</v>
      </c>
    </row>
    <row r="100" spans="4:7">
      <c r="D100" s="101" t="s">
        <v>104</v>
      </c>
      <c r="E100" s="103">
        <v>3</v>
      </c>
      <c r="F100" s="103">
        <v>2</v>
      </c>
      <c r="G100" s="103">
        <v>4</v>
      </c>
    </row>
    <row r="101" spans="4:7">
      <c r="D101" s="101" t="s">
        <v>124</v>
      </c>
      <c r="E101" s="103">
        <v>3</v>
      </c>
      <c r="F101" s="103">
        <v>2</v>
      </c>
      <c r="G101" s="103">
        <v>4</v>
      </c>
    </row>
    <row r="102" spans="4:7">
      <c r="D102" s="101" t="s">
        <v>102</v>
      </c>
      <c r="E102" s="103">
        <v>3</v>
      </c>
      <c r="F102" s="103">
        <v>2</v>
      </c>
      <c r="G102" s="103">
        <v>4</v>
      </c>
    </row>
    <row r="103" spans="4:7">
      <c r="D103" s="101" t="s">
        <v>123</v>
      </c>
      <c r="E103" s="103">
        <v>3</v>
      </c>
      <c r="F103" s="103">
        <v>2</v>
      </c>
      <c r="G103" s="103">
        <v>4</v>
      </c>
    </row>
    <row r="104" spans="4:7">
      <c r="D104" s="101" t="s">
        <v>192</v>
      </c>
      <c r="E104" s="103">
        <v>4</v>
      </c>
      <c r="F104" s="103">
        <v>3</v>
      </c>
      <c r="G104" s="103">
        <v>5</v>
      </c>
    </row>
    <row r="105" spans="4:7">
      <c r="D105" s="101" t="s">
        <v>202</v>
      </c>
      <c r="E105" s="103">
        <v>4</v>
      </c>
      <c r="F105" s="103">
        <v>3</v>
      </c>
      <c r="G105" s="103">
        <v>5</v>
      </c>
    </row>
    <row r="106" spans="4:7">
      <c r="D106" s="102" t="s">
        <v>131</v>
      </c>
      <c r="E106" s="103">
        <v>4</v>
      </c>
      <c r="F106" s="103">
        <v>3</v>
      </c>
      <c r="G106" s="103">
        <v>5</v>
      </c>
    </row>
    <row r="107" spans="4:7">
      <c r="D107" s="102" t="s">
        <v>224</v>
      </c>
      <c r="E107" s="103">
        <v>4</v>
      </c>
      <c r="F107" s="103">
        <v>3</v>
      </c>
      <c r="G107" s="103">
        <v>5</v>
      </c>
    </row>
    <row r="108" spans="4:7">
      <c r="D108" s="102" t="s">
        <v>195</v>
      </c>
      <c r="E108" s="103">
        <v>4</v>
      </c>
      <c r="F108" s="103">
        <v>3</v>
      </c>
      <c r="G108" s="103">
        <v>5</v>
      </c>
    </row>
    <row r="109" spans="4:7">
      <c r="D109" s="101" t="s">
        <v>205</v>
      </c>
      <c r="E109" s="103">
        <v>4</v>
      </c>
      <c r="F109" s="103">
        <v>3</v>
      </c>
      <c r="G109" s="103">
        <v>5</v>
      </c>
    </row>
    <row r="110" spans="4:7">
      <c r="D110" s="102" t="s">
        <v>216</v>
      </c>
      <c r="E110" s="103">
        <v>4</v>
      </c>
      <c r="F110" s="103">
        <v>3</v>
      </c>
      <c r="G110" s="103">
        <v>5</v>
      </c>
    </row>
    <row r="111" spans="4:7">
      <c r="D111" s="101" t="s">
        <v>85</v>
      </c>
      <c r="E111" s="103">
        <v>4</v>
      </c>
      <c r="F111" s="103">
        <v>3</v>
      </c>
      <c r="G111" s="103">
        <v>5</v>
      </c>
    </row>
    <row r="112" spans="4:7">
      <c r="D112" s="102" t="s">
        <v>84</v>
      </c>
      <c r="E112" s="103">
        <v>4</v>
      </c>
      <c r="F112" s="103">
        <v>3</v>
      </c>
      <c r="G112" s="103">
        <v>5</v>
      </c>
    </row>
    <row r="113" spans="4:7">
      <c r="D113" s="101" t="s">
        <v>235</v>
      </c>
      <c r="E113" s="103">
        <v>4</v>
      </c>
      <c r="F113" s="103">
        <v>3</v>
      </c>
      <c r="G113" s="103">
        <v>5</v>
      </c>
    </row>
    <row r="114" spans="4:7">
      <c r="D114" s="102" t="s">
        <v>240</v>
      </c>
      <c r="E114" s="103">
        <v>4</v>
      </c>
      <c r="F114" s="103">
        <v>3</v>
      </c>
      <c r="G114" s="103">
        <v>5</v>
      </c>
    </row>
    <row r="115" spans="4:7">
      <c r="D115" s="101" t="s">
        <v>244</v>
      </c>
      <c r="E115" s="103">
        <v>4</v>
      </c>
      <c r="F115" s="103">
        <v>3</v>
      </c>
      <c r="G115" s="103">
        <v>5</v>
      </c>
    </row>
    <row r="116" spans="4:7">
      <c r="D116" s="102" t="s">
        <v>248</v>
      </c>
      <c r="E116" s="103">
        <v>4</v>
      </c>
      <c r="F116" s="103">
        <v>3</v>
      </c>
      <c r="G116" s="103">
        <v>5</v>
      </c>
    </row>
    <row r="117" spans="4:7">
      <c r="D117" s="101" t="s">
        <v>251</v>
      </c>
      <c r="E117" s="103">
        <v>4</v>
      </c>
      <c r="F117" s="103">
        <v>3</v>
      </c>
      <c r="G117" s="103">
        <v>5</v>
      </c>
    </row>
    <row r="118" spans="4:7">
      <c r="D118" s="102" t="s">
        <v>252</v>
      </c>
      <c r="E118" s="103">
        <v>4</v>
      </c>
      <c r="F118" s="103">
        <v>3</v>
      </c>
      <c r="G118" s="103">
        <v>5</v>
      </c>
    </row>
    <row r="119" spans="4:7">
      <c r="D119" s="101" t="s">
        <v>101</v>
      </c>
      <c r="E119" s="103">
        <v>4</v>
      </c>
      <c r="F119" s="103">
        <v>3</v>
      </c>
      <c r="G119" s="103">
        <v>5</v>
      </c>
    </row>
    <row r="120" spans="4:7">
      <c r="D120" s="102" t="s">
        <v>100</v>
      </c>
      <c r="E120" s="103">
        <v>4</v>
      </c>
      <c r="F120" s="103">
        <v>3</v>
      </c>
      <c r="G120" s="103">
        <v>5</v>
      </c>
    </row>
    <row r="121" spans="4:7">
      <c r="D121" s="101" t="s">
        <v>260</v>
      </c>
      <c r="E121" s="103">
        <v>4</v>
      </c>
      <c r="F121" s="103">
        <v>3</v>
      </c>
      <c r="G121" s="103">
        <v>5</v>
      </c>
    </row>
    <row r="122" spans="4:7">
      <c r="D122" s="102" t="s">
        <v>263</v>
      </c>
      <c r="E122" s="103">
        <v>4</v>
      </c>
      <c r="F122" s="103">
        <v>3</v>
      </c>
      <c r="G122" s="103">
        <v>5</v>
      </c>
    </row>
    <row r="123" spans="4:7">
      <c r="D123" s="101" t="s">
        <v>265</v>
      </c>
      <c r="E123" s="103">
        <v>4</v>
      </c>
      <c r="F123" s="103">
        <v>3</v>
      </c>
      <c r="G123" s="103">
        <v>5</v>
      </c>
    </row>
    <row r="124" spans="4:7">
      <c r="D124" s="101" t="s">
        <v>267</v>
      </c>
      <c r="E124" s="103">
        <v>4</v>
      </c>
      <c r="F124" s="103">
        <v>3</v>
      </c>
      <c r="G124" s="103">
        <v>5</v>
      </c>
    </row>
    <row r="125" spans="4:7">
      <c r="D125" s="102" t="s">
        <v>106</v>
      </c>
      <c r="E125" s="103">
        <v>3</v>
      </c>
      <c r="F125" s="103">
        <v>2</v>
      </c>
      <c r="G125" s="103">
        <v>4</v>
      </c>
    </row>
    <row r="126" spans="4:7">
      <c r="D126" s="101" t="s">
        <v>207</v>
      </c>
      <c r="E126" s="103">
        <v>3</v>
      </c>
      <c r="F126" s="103">
        <v>2</v>
      </c>
      <c r="G126" s="103">
        <v>4</v>
      </c>
    </row>
    <row r="127" spans="4:7">
      <c r="D127" s="102" t="s">
        <v>218</v>
      </c>
      <c r="E127" s="103">
        <v>3</v>
      </c>
      <c r="F127" s="103">
        <v>2</v>
      </c>
      <c r="G127" s="103">
        <v>4</v>
      </c>
    </row>
    <row r="128" spans="4:7">
      <c r="D128" s="101" t="s">
        <v>226</v>
      </c>
      <c r="E128" s="103">
        <v>3</v>
      </c>
      <c r="F128" s="103">
        <v>2</v>
      </c>
      <c r="G128" s="103">
        <v>4</v>
      </c>
    </row>
    <row r="129" spans="4:7">
      <c r="D129" s="102" t="s">
        <v>231</v>
      </c>
      <c r="E129" s="103">
        <v>3</v>
      </c>
      <c r="F129" s="103">
        <v>2</v>
      </c>
      <c r="G129" s="103">
        <v>4</v>
      </c>
    </row>
    <row r="130" spans="4:7">
      <c r="D130" s="101" t="s">
        <v>237</v>
      </c>
      <c r="E130" s="103">
        <v>3</v>
      </c>
      <c r="F130" s="103">
        <v>2</v>
      </c>
      <c r="G130" s="103">
        <v>4</v>
      </c>
    </row>
    <row r="131" spans="4:7">
      <c r="D131" s="101" t="s">
        <v>133</v>
      </c>
      <c r="E131" s="103">
        <v>4</v>
      </c>
      <c r="F131" s="103">
        <v>3</v>
      </c>
      <c r="G131" s="103">
        <v>5</v>
      </c>
    </row>
    <row r="132" spans="4:7">
      <c r="D132" s="101" t="s">
        <v>199</v>
      </c>
      <c r="E132" s="103">
        <v>4</v>
      </c>
      <c r="F132" s="103">
        <v>3</v>
      </c>
      <c r="G132" s="103">
        <v>5</v>
      </c>
    </row>
    <row r="133" spans="4:7">
      <c r="D133" s="101" t="s">
        <v>109</v>
      </c>
      <c r="E133" s="103">
        <v>4</v>
      </c>
      <c r="F133" s="103">
        <v>3</v>
      </c>
      <c r="G133" s="103">
        <v>5</v>
      </c>
    </row>
    <row r="134" spans="4:7">
      <c r="D134" s="101" t="s">
        <v>188</v>
      </c>
      <c r="E134" s="103">
        <v>4</v>
      </c>
      <c r="F134" s="103">
        <v>3</v>
      </c>
      <c r="G134" s="103">
        <v>5</v>
      </c>
    </row>
    <row r="135" spans="4:7">
      <c r="D135" s="101" t="s">
        <v>111</v>
      </c>
      <c r="E135" s="103">
        <v>4</v>
      </c>
      <c r="F135" s="103">
        <v>3</v>
      </c>
      <c r="G135" s="103">
        <v>5</v>
      </c>
    </row>
    <row r="136" spans="4:7">
      <c r="D136" s="101" t="s">
        <v>211</v>
      </c>
      <c r="E136" s="103">
        <v>4</v>
      </c>
      <c r="F136" s="103">
        <v>3</v>
      </c>
      <c r="G136" s="103">
        <v>5</v>
      </c>
    </row>
    <row r="137" spans="4:7">
      <c r="D137" s="101" t="s">
        <v>189</v>
      </c>
      <c r="E137" s="103">
        <v>4</v>
      </c>
      <c r="F137" s="103">
        <v>3</v>
      </c>
      <c r="G137" s="103">
        <v>5</v>
      </c>
    </row>
    <row r="138" spans="4:7">
      <c r="D138" s="101" t="s">
        <v>201</v>
      </c>
      <c r="E138" s="103">
        <v>4</v>
      </c>
      <c r="F138" s="103">
        <v>3</v>
      </c>
      <c r="G138" s="103">
        <v>5</v>
      </c>
    </row>
    <row r="139" spans="4:7">
      <c r="D139" s="101" t="s">
        <v>74</v>
      </c>
      <c r="E139" s="103">
        <v>4</v>
      </c>
      <c r="F139" s="103">
        <v>3</v>
      </c>
      <c r="G139" s="103">
        <v>5</v>
      </c>
    </row>
    <row r="140" spans="4:7">
      <c r="D140" s="101" t="s">
        <v>116</v>
      </c>
      <c r="E140" s="103">
        <v>4</v>
      </c>
      <c r="F140" s="103">
        <v>3</v>
      </c>
      <c r="G140" s="103">
        <v>5</v>
      </c>
    </row>
    <row r="141" spans="4:7">
      <c r="D141" s="101" t="s">
        <v>79</v>
      </c>
      <c r="E141" s="103">
        <v>4</v>
      </c>
      <c r="F141" s="103">
        <v>3</v>
      </c>
      <c r="G141" s="103">
        <v>5</v>
      </c>
    </row>
    <row r="142" spans="4:7">
      <c r="D142" s="101" t="s">
        <v>114</v>
      </c>
      <c r="E142" s="103">
        <v>4</v>
      </c>
      <c r="F142" s="103">
        <v>3</v>
      </c>
      <c r="G142" s="103">
        <v>5</v>
      </c>
    </row>
    <row r="143" spans="4:7">
      <c r="D143" s="101" t="s">
        <v>223</v>
      </c>
      <c r="E143" s="103">
        <v>4</v>
      </c>
      <c r="F143" s="103">
        <v>3</v>
      </c>
      <c r="G143" s="103">
        <v>5</v>
      </c>
    </row>
    <row r="144" spans="4:7">
      <c r="D144" s="101" t="s">
        <v>93</v>
      </c>
      <c r="E144" s="103">
        <v>4</v>
      </c>
      <c r="F144" s="103">
        <v>3</v>
      </c>
      <c r="G144" s="103">
        <v>5</v>
      </c>
    </row>
    <row r="145" spans="4:7">
      <c r="D145" s="101" t="s">
        <v>94</v>
      </c>
      <c r="E145" s="103">
        <v>4</v>
      </c>
      <c r="F145" s="103">
        <v>3</v>
      </c>
      <c r="G145" s="103">
        <v>5</v>
      </c>
    </row>
    <row r="146" spans="4:7">
      <c r="D146" s="101" t="s">
        <v>118</v>
      </c>
      <c r="E146" s="103">
        <v>4</v>
      </c>
      <c r="F146" s="103">
        <v>3</v>
      </c>
      <c r="G146" s="103">
        <v>5</v>
      </c>
    </row>
    <row r="147" spans="4:7">
      <c r="D147" s="101" t="s">
        <v>119</v>
      </c>
      <c r="E147" s="103">
        <v>4</v>
      </c>
      <c r="F147" s="103">
        <v>3</v>
      </c>
      <c r="G147" s="103">
        <v>5</v>
      </c>
    </row>
    <row r="148" spans="4:7">
      <c r="D148" s="101" t="s">
        <v>120</v>
      </c>
      <c r="E148" s="103">
        <v>4</v>
      </c>
      <c r="F148" s="103">
        <v>3</v>
      </c>
      <c r="G148" s="103">
        <v>5</v>
      </c>
    </row>
    <row r="149" spans="4:7">
      <c r="D149" s="101" t="s">
        <v>54</v>
      </c>
      <c r="E149" s="103">
        <v>3</v>
      </c>
      <c r="F149" s="103">
        <v>2</v>
      </c>
      <c r="G149" s="103">
        <v>4</v>
      </c>
    </row>
    <row r="150" spans="4:7">
      <c r="D150" s="101" t="s">
        <v>55</v>
      </c>
      <c r="E150" s="103">
        <v>3</v>
      </c>
      <c r="F150" s="103">
        <v>2</v>
      </c>
      <c r="G150" s="103">
        <v>4</v>
      </c>
    </row>
    <row r="151" spans="4:7">
      <c r="D151" s="101" t="s">
        <v>140</v>
      </c>
      <c r="E151" s="103">
        <v>3</v>
      </c>
      <c r="F151" s="103">
        <v>2</v>
      </c>
      <c r="G151" s="103">
        <v>4</v>
      </c>
    </row>
    <row r="152" spans="4:7">
      <c r="D152" s="101" t="s">
        <v>139</v>
      </c>
      <c r="E152" s="103">
        <v>3</v>
      </c>
      <c r="F152" s="103">
        <v>2</v>
      </c>
      <c r="G152" s="103">
        <v>4</v>
      </c>
    </row>
    <row r="153" spans="4:7">
      <c r="D153" s="101" t="s">
        <v>193</v>
      </c>
      <c r="E153" s="103">
        <v>4</v>
      </c>
      <c r="F153" s="103">
        <v>3</v>
      </c>
      <c r="G153" s="103">
        <v>5</v>
      </c>
    </row>
    <row r="154" spans="4:7">
      <c r="D154" s="101" t="s">
        <v>203</v>
      </c>
      <c r="E154" s="103">
        <v>4</v>
      </c>
      <c r="F154" s="103">
        <v>3</v>
      </c>
      <c r="G154" s="103">
        <v>5</v>
      </c>
    </row>
    <row r="155" spans="4:7">
      <c r="D155" s="101" t="s">
        <v>214</v>
      </c>
      <c r="E155" s="104">
        <v>2</v>
      </c>
      <c r="F155" s="104">
        <v>1</v>
      </c>
      <c r="G155" s="104">
        <v>2</v>
      </c>
    </row>
    <row r="156" spans="4:7">
      <c r="D156" s="101" t="s">
        <v>225</v>
      </c>
      <c r="E156" s="103">
        <v>4</v>
      </c>
      <c r="F156" s="103">
        <v>3</v>
      </c>
      <c r="G156" s="103">
        <v>5</v>
      </c>
    </row>
    <row r="157" spans="4:7">
      <c r="D157" s="101" t="s">
        <v>230</v>
      </c>
      <c r="E157" s="103">
        <v>4</v>
      </c>
      <c r="F157" s="103">
        <v>3</v>
      </c>
      <c r="G157" s="103">
        <v>5</v>
      </c>
    </row>
    <row r="158" spans="4:7">
      <c r="D158" s="101" t="s">
        <v>196</v>
      </c>
      <c r="E158" s="103">
        <v>4</v>
      </c>
      <c r="F158" s="103">
        <v>3</v>
      </c>
      <c r="G158" s="103">
        <v>5</v>
      </c>
    </row>
    <row r="159" spans="4:7">
      <c r="D159" s="101" t="s">
        <v>206</v>
      </c>
      <c r="E159" s="103">
        <v>4</v>
      </c>
      <c r="F159" s="103">
        <v>3</v>
      </c>
      <c r="G159" s="103">
        <v>5</v>
      </c>
    </row>
    <row r="160" spans="4:7">
      <c r="D160" s="101" t="s">
        <v>217</v>
      </c>
      <c r="E160" s="103">
        <v>4</v>
      </c>
      <c r="F160" s="103">
        <v>3</v>
      </c>
      <c r="G160" s="103">
        <v>5</v>
      </c>
    </row>
    <row r="161" spans="4:7">
      <c r="D161" s="101" t="s">
        <v>122</v>
      </c>
      <c r="E161" s="103">
        <v>4</v>
      </c>
      <c r="F161" s="103">
        <v>3</v>
      </c>
      <c r="G161" s="103">
        <v>5</v>
      </c>
    </row>
    <row r="162" spans="4:7">
      <c r="D162" s="101" t="s">
        <v>121</v>
      </c>
      <c r="E162" s="103">
        <v>4</v>
      </c>
      <c r="F162" s="103">
        <v>3</v>
      </c>
      <c r="G162" s="103">
        <v>5</v>
      </c>
    </row>
    <row r="163" spans="4:7">
      <c r="D163" s="101" t="s">
        <v>236</v>
      </c>
      <c r="E163" s="103">
        <v>4</v>
      </c>
      <c r="F163" s="103">
        <v>3</v>
      </c>
      <c r="G163" s="103">
        <v>5</v>
      </c>
    </row>
    <row r="164" spans="4:7">
      <c r="D164" s="101" t="s">
        <v>241</v>
      </c>
      <c r="E164" s="103">
        <v>4</v>
      </c>
      <c r="F164" s="103">
        <v>3</v>
      </c>
      <c r="G164" s="103">
        <v>5</v>
      </c>
    </row>
    <row r="165" spans="4:7">
      <c r="D165" s="101" t="s">
        <v>245</v>
      </c>
      <c r="E165" s="103">
        <v>4</v>
      </c>
      <c r="F165" s="103">
        <v>3</v>
      </c>
      <c r="G165" s="103">
        <v>5</v>
      </c>
    </row>
    <row r="166" spans="4:7">
      <c r="D166" s="101" t="s">
        <v>249</v>
      </c>
      <c r="E166" s="103">
        <v>4</v>
      </c>
      <c r="F166" s="103">
        <v>3</v>
      </c>
      <c r="G166" s="103">
        <v>5</v>
      </c>
    </row>
    <row r="167" spans="4:7">
      <c r="D167" s="101" t="s">
        <v>197</v>
      </c>
      <c r="E167" s="103">
        <v>3</v>
      </c>
      <c r="F167" s="103">
        <v>2</v>
      </c>
      <c r="G167" s="103">
        <v>4</v>
      </c>
    </row>
    <row r="168" spans="4:7">
      <c r="D168" s="101" t="s">
        <v>67</v>
      </c>
      <c r="E168" s="103">
        <v>3</v>
      </c>
      <c r="F168" s="103">
        <v>2</v>
      </c>
      <c r="G168" s="103">
        <v>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47</vt:i4>
      </vt:variant>
    </vt:vector>
  </HeadingPairs>
  <TitlesOfParts>
    <vt:vector size="50" baseType="lpstr">
      <vt:lpstr>2026입학생</vt:lpstr>
      <vt:lpstr>2026입학생 (2)</vt:lpstr>
      <vt:lpstr>데이터베이스</vt:lpstr>
      <vt:lpstr>'2026입학생'!Print_Area</vt:lpstr>
      <vt:lpstr>'2026입학생 (2)'!Print_Area</vt:lpstr>
      <vt:lpstr>'2026입학생'!Print_Titles</vt:lpstr>
      <vt:lpstr>'2026입학생 (2)'!Print_Titles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김연희</cp:lastModifiedBy>
  <cp:lastPrinted>2025-10-01T23:14:08Z</cp:lastPrinted>
  <dcterms:created xsi:type="dcterms:W3CDTF">2002-10-10T04:04:10Z</dcterms:created>
  <dcterms:modified xsi:type="dcterms:W3CDTF">2026-08-12T20:08:13Z</dcterms:modified>
</cp:coreProperties>
</file>