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450" yWindow="0" windowWidth="16440" windowHeight="15285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맑은 고딕"/>
      <charset val="129"/>
      <family val="3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7">
    <xf numFmtId="0" fontId="0" fillId="0" borderId="0" pivotButton="0" quotePrefix="0" xfId="0"/>
    <xf numFmtId="0" fontId="0" fillId="0" borderId="74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7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2" borderId="7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2" borderId="97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7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2" borderId="61" applyAlignment="1" pivotButton="0" quotePrefix="1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9" fillId="3" borderId="10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7" applyAlignment="1" pivotButton="0" quotePrefix="0" xfId="0">
      <alignment horizontal="center" vertical="center" wrapText="1"/>
    </xf>
    <xf numFmtId="0" fontId="5" fillId="2" borderId="98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5" fillId="2" borderId="5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2" borderId="6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2" borderId="115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12" fillId="2" borderId="98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shrinkToFit="1"/>
    </xf>
    <xf numFmtId="0" fontId="12" fillId="0" borderId="119" applyAlignment="1" pivotButton="0" quotePrefix="0" xfId="0">
      <alignment horizontal="center" vertical="center" wrapText="1"/>
    </xf>
    <xf numFmtId="49" fontId="12" fillId="0" borderId="31" applyAlignment="1" pivotButton="0" quotePrefix="0" xfId="0">
      <alignment horizontal="center" vertical="center" shrinkToFit="1"/>
    </xf>
    <xf numFmtId="49" fontId="5" fillId="0" borderId="3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12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3" fillId="3" borderId="1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9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5" fillId="2" borderId="118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79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80" applyAlignment="1" pivotButton="0" quotePrefix="0" xfId="0">
      <alignment horizontal="center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89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74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1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12" fillId="0" borderId="85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2" borderId="86" applyAlignment="1" pivotButton="0" quotePrefix="0" xfId="0">
      <alignment horizontal="center" vertical="center" wrapText="1"/>
    </xf>
    <xf numFmtId="0" fontId="12" fillId="0" borderId="101" applyAlignment="1" pivotButton="0" quotePrefix="1" xfId="0">
      <alignment horizontal="center" vertical="center" wrapText="1"/>
    </xf>
    <xf numFmtId="49" fontId="12" fillId="0" borderId="26" applyAlignment="1" pivotButton="0" quotePrefix="0" xfId="0">
      <alignment horizontal="center" vertical="center" shrinkToFit="1"/>
    </xf>
    <xf numFmtId="49" fontId="12" fillId="0" borderId="28" applyAlignment="1" pivotButton="0" quotePrefix="0" xfId="0">
      <alignment horizontal="center" vertical="center" shrinkToFit="1"/>
    </xf>
    <xf numFmtId="49" fontId="12" fillId="0" borderId="29" applyAlignment="1" pivotButton="0" quotePrefix="0" xfId="0">
      <alignment horizontal="center" vertical="center" shrinkToFit="1"/>
    </xf>
    <xf numFmtId="0" fontId="12" fillId="0" borderId="120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0" fontId="12" fillId="0" borderId="122" applyAlignment="1" pivotButton="0" quotePrefix="0" xfId="0">
      <alignment horizontal="center" vertical="center" wrapText="1"/>
    </xf>
    <xf numFmtId="0" fontId="12" fillId="0" borderId="123" applyAlignment="1" pivotButton="0" quotePrefix="0" xfId="0">
      <alignment horizontal="center" vertical="center" wrapText="1"/>
    </xf>
    <xf numFmtId="0" fontId="12" fillId="2" borderId="122" applyAlignment="1" pivotButton="0" quotePrefix="0" xfId="0">
      <alignment horizontal="center" vertical="center" wrapText="1"/>
    </xf>
    <xf numFmtId="0" fontId="12" fillId="2" borderId="124" applyAlignment="1" pivotButton="0" quotePrefix="0" xfId="0">
      <alignment horizontal="center" vertical="center" wrapText="1"/>
    </xf>
    <xf numFmtId="0" fontId="12" fillId="2" borderId="125" applyAlignment="1" pivotButton="0" quotePrefix="0" xfId="0">
      <alignment horizontal="center" vertical="center" wrapText="1"/>
    </xf>
    <xf numFmtId="0" fontId="12" fillId="0" borderId="122" applyAlignment="1" pivotButton="0" quotePrefix="1" xfId="0">
      <alignment horizontal="center" vertical="center" wrapText="1"/>
    </xf>
    <xf numFmtId="0" fontId="12" fillId="0" borderId="124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126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8" applyAlignment="1" pivotButton="0" quotePrefix="0" xfId="0">
      <alignment horizontal="center" vertical="center" wrapText="1"/>
    </xf>
    <xf numFmtId="0" fontId="3" fillId="3" borderId="139" applyAlignment="1" pivotButton="0" quotePrefix="0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6" pivotButton="0" quotePrefix="0" xfId="0"/>
    <xf numFmtId="0" fontId="3" fillId="3" borderId="136" applyAlignment="1" pivotButton="0" quotePrefix="0" xfId="0">
      <alignment horizontal="center" vertical="center" wrapText="1"/>
    </xf>
    <xf numFmtId="0" fontId="3" fillId="3" borderId="140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1" pivotButton="0" quotePrefix="0" xfId="0"/>
    <xf numFmtId="0" fontId="0" fillId="0" borderId="8" pivotButton="0" quotePrefix="0" xfId="0"/>
    <xf numFmtId="0" fontId="3" fillId="3" borderId="132" applyAlignment="1" pivotButton="0" quotePrefix="0" xfId="0">
      <alignment horizontal="center" vertical="center" wrapText="1"/>
    </xf>
    <xf numFmtId="0" fontId="3" fillId="3" borderId="12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5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09" pivotButton="0" quotePrefix="0" xfId="0"/>
    <xf numFmtId="0" fontId="0" fillId="0" borderId="102" pivotButton="0" quotePrefix="0" xfId="0"/>
    <xf numFmtId="0" fontId="11" fillId="0" borderId="128" applyAlignment="1" pivotButton="0" quotePrefix="0" xfId="0">
      <alignment horizontal="center" vertical="center" wrapText="1"/>
    </xf>
    <xf numFmtId="0" fontId="12" fillId="0" borderId="12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5" applyAlignment="1" pivotButton="0" quotePrefix="0" xfId="0">
      <alignment horizontal="center" vertical="center" wrapText="1"/>
    </xf>
    <xf numFmtId="0" fontId="0" fillId="0" borderId="82" pivotButton="0" quotePrefix="0" xfId="0"/>
    <xf numFmtId="0" fontId="0" fillId="0" borderId="3" pivotButton="0" quotePrefix="0" xfId="0"/>
    <xf numFmtId="0" fontId="0" fillId="0" borderId="64" pivotButton="0" quotePrefix="0" xfId="0"/>
    <xf numFmtId="0" fontId="12" fillId="0" borderId="130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3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33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12" fillId="0" borderId="137" applyAlignment="1" pivotButton="0" quotePrefix="0" xfId="0">
      <alignment horizontal="center" vertical="center" wrapText="1"/>
    </xf>
    <xf numFmtId="0" fontId="5" fillId="2" borderId="93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18" pivotButton="0" quotePrefix="0" xfId="0"/>
    <xf numFmtId="0" fontId="12" fillId="2" borderId="94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79" pivotButton="0" quotePrefix="0" xfId="0"/>
    <xf numFmtId="0" fontId="12" fillId="0" borderId="141" applyAlignment="1" pivotButton="0" quotePrefix="0" xfId="0">
      <alignment horizontal="center" vertical="center" wrapText="1"/>
    </xf>
    <xf numFmtId="0" fontId="12" fillId="0" borderId="142" applyAlignment="1" pivotButton="0" quotePrefix="0" xfId="0">
      <alignment horizontal="center" vertical="center" wrapText="1"/>
    </xf>
    <xf numFmtId="0" fontId="0" fillId="0" borderId="123" pivotButton="0" quotePrefix="0" xfId="0"/>
    <xf numFmtId="0" fontId="0" fillId="0" borderId="126" pivotButton="0" quotePrefix="0" xfId="0"/>
    <xf numFmtId="0" fontId="0" fillId="0" borderId="96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5" pivotButton="0" quotePrefix="0" xfId="0"/>
    <xf numFmtId="0" fontId="12" fillId="5" borderId="131" applyAlignment="1" pivotButton="0" quotePrefix="0" xfId="0">
      <alignment horizontal="center" vertical="center" wrapText="1"/>
    </xf>
    <xf numFmtId="0" fontId="0" fillId="0" borderId="104" pivotButton="0" quotePrefix="0" xfId="0"/>
    <xf numFmtId="0" fontId="0" fillId="0" borderId="34" pivotButton="0" quotePrefix="0" xfId="0"/>
    <xf numFmtId="0" fontId="12" fillId="0" borderId="133" applyAlignment="1" pivotButton="0" quotePrefix="0" xfId="0">
      <alignment horizontal="center" vertical="center" wrapText="1"/>
    </xf>
    <xf numFmtId="0" fontId="0" fillId="0" borderId="103" pivotButton="0" quotePrefix="0" xfId="0"/>
    <xf numFmtId="0" fontId="11" fillId="3" borderId="128" applyAlignment="1" pivotButton="0" quotePrefix="0" xfId="0">
      <alignment horizontal="left" vertical="top" wrapText="1"/>
    </xf>
    <xf numFmtId="0" fontId="0" fillId="0" borderId="89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48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7"/>
    </tableStyle>
    <tableStyle name="표 스타일 2" pivot="0" count="1">
      <tableStyleElement type="lastColumn" dxfId="4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표3" displayName="표3" ref="E7:H110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4"/>
  <sheetViews>
    <sheetView tabSelected="1" topLeftCell="A88" zoomScale="115" zoomScaleNormal="115" zoomScaleSheetLayoutView="100" workbookViewId="0">
      <selection activeCell="L113" sqref="L113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280" t="inlineStr">
        <is>
          <t>경복여자고등학교 교육과정 학점 배당표</t>
        </is>
      </c>
    </row>
    <row r="2" ht="29.25" customHeight="1" thickBot="1">
      <c r="A2" s="326" t="inlineStr">
        <is>
          <t>2026학년도 입학(2022 개정 교육과정 적용)</t>
        </is>
      </c>
      <c r="B2" s="356" t="n"/>
      <c r="C2" s="356" t="n"/>
      <c r="D2" s="356" t="n"/>
      <c r="E2" s="197" t="n"/>
      <c r="F2" s="3" t="n"/>
      <c r="G2" s="2" t="n"/>
      <c r="H2" s="2" t="n"/>
      <c r="I2" s="2" t="n"/>
      <c r="J2" s="2" t="n"/>
      <c r="K2" s="299" t="n"/>
      <c r="L2" s="356" t="n"/>
      <c r="M2" s="356" t="n"/>
      <c r="N2" s="356" t="n"/>
      <c r="O2" s="356" t="n"/>
      <c r="P2" s="356" t="n"/>
    </row>
    <row r="3" ht="16.5" customHeight="1">
      <c r="A3" s="357" t="inlineStr">
        <is>
          <t>구분</t>
        </is>
      </c>
      <c r="B3" s="358" t="inlineStr">
        <is>
          <t>교과(군)</t>
        </is>
      </c>
      <c r="C3" s="359" t="inlineStr">
        <is>
          <t>과목 
유형</t>
        </is>
      </c>
      <c r="D3" s="359" t="inlineStr">
        <is>
          <t>과목</t>
        </is>
      </c>
      <c r="E3" s="359" t="inlineStr">
        <is>
          <t>기본
학점</t>
        </is>
      </c>
      <c r="F3" s="359" t="inlineStr">
        <is>
          <t>운영
학점</t>
        </is>
      </c>
      <c r="G3" s="360" t="inlineStr">
        <is>
          <t>1학년</t>
        </is>
      </c>
      <c r="H3" s="361" t="n"/>
      <c r="I3" s="360" t="inlineStr">
        <is>
          <t>2학년</t>
        </is>
      </c>
      <c r="J3" s="361" t="n"/>
      <c r="K3" s="360" t="inlineStr">
        <is>
          <t>3학년</t>
        </is>
      </c>
      <c r="L3" s="361" t="n"/>
      <c r="M3" s="359" t="inlineStr">
        <is>
          <t>비고</t>
        </is>
      </c>
      <c r="N3" s="362" t="inlineStr">
        <is>
          <t>과목 개설 유형</t>
        </is>
      </c>
      <c r="O3" s="359" t="inlineStr">
        <is>
          <t>이수
학점</t>
        </is>
      </c>
      <c r="P3" s="363" t="inlineStr">
        <is>
          <t>필수
이수
학점</t>
        </is>
      </c>
    </row>
    <row r="4" ht="14.45" customHeight="1">
      <c r="A4" s="364" t="n"/>
      <c r="B4" s="365" t="n"/>
      <c r="C4" s="366" t="n"/>
      <c r="D4" s="366" t="n"/>
      <c r="E4" s="366" t="n"/>
      <c r="F4" s="366" t="n"/>
      <c r="G4" s="367" t="inlineStr">
        <is>
          <t>1학기</t>
        </is>
      </c>
      <c r="H4" s="368" t="inlineStr">
        <is>
          <t>2학기</t>
        </is>
      </c>
      <c r="I4" s="367" t="inlineStr">
        <is>
          <t>1학기</t>
        </is>
      </c>
      <c r="J4" s="368" t="inlineStr">
        <is>
          <t>2학기</t>
        </is>
      </c>
      <c r="K4" s="367" t="inlineStr">
        <is>
          <t>1학기</t>
        </is>
      </c>
      <c r="L4" s="368" t="inlineStr">
        <is>
          <t>2학기</t>
        </is>
      </c>
      <c r="M4" s="366" t="n"/>
      <c r="N4" s="369" t="n"/>
      <c r="O4" s="366" t="n"/>
      <c r="P4" s="370" t="n"/>
    </row>
    <row r="5" ht="14.45" customHeight="1" thickBot="1">
      <c r="A5" s="371" t="n"/>
      <c r="B5" s="372" t="n"/>
      <c r="C5" s="373" t="n"/>
      <c r="D5" s="373" t="n"/>
      <c r="E5" s="373" t="n"/>
      <c r="F5" s="373" t="n"/>
      <c r="G5" s="374" t="n"/>
      <c r="H5" s="375" t="n"/>
      <c r="I5" s="374" t="n"/>
      <c r="J5" s="375" t="n"/>
      <c r="K5" s="374" t="n"/>
      <c r="L5" s="375" t="n"/>
      <c r="M5" s="373" t="n"/>
      <c r="N5" s="376" t="n"/>
      <c r="O5" s="373" t="n"/>
      <c r="P5" s="377" t="n"/>
    </row>
    <row r="6" hidden="1" ht="14.45" customHeight="1" thickBot="1">
      <c r="A6" s="282" t="n"/>
      <c r="B6" s="285" t="n"/>
      <c r="C6" s="136" t="n"/>
      <c r="D6" s="114" t="n"/>
      <c r="G6" s="135" t="n"/>
      <c r="H6" s="137" t="n"/>
      <c r="I6" s="138" t="n"/>
      <c r="J6" s="137" t="n"/>
      <c r="K6" s="138" t="n"/>
      <c r="L6" s="167" t="n"/>
      <c r="M6" s="168" t="n"/>
      <c r="N6" s="181" t="n"/>
      <c r="O6" s="288" t="n"/>
      <c r="P6" s="291" t="n"/>
    </row>
    <row r="7" ht="15.6" customHeight="1">
      <c r="A7" s="378" t="inlineStr">
        <is>
          <t>학교지정</t>
        </is>
      </c>
      <c r="B7" s="379" t="inlineStr">
        <is>
          <t>국 어</t>
        </is>
      </c>
      <c r="C7" s="119" t="inlineStr">
        <is>
          <t>공통</t>
        </is>
      </c>
      <c r="D7" s="203" t="inlineStr">
        <is>
          <t>공통국어1</t>
        </is>
      </c>
      <c r="E7" s="124">
        <f>IFERROR(VLOOKUP(D7, 기본학점, 2, FALSE), "")</f>
        <v/>
      </c>
      <c r="F7" s="125" t="n">
        <v>4</v>
      </c>
      <c r="G7" s="223" t="n">
        <v>4</v>
      </c>
      <c r="H7" s="224" t="n"/>
      <c r="I7" s="76" t="n"/>
      <c r="J7" s="75" t="n"/>
      <c r="K7" s="76" t="n"/>
      <c r="L7" s="77" t="n"/>
      <c r="M7" s="202" t="n"/>
      <c r="N7" s="182" t="n"/>
      <c r="O7" s="380">
        <f>SUM(F7:F12)</f>
        <v/>
      </c>
      <c r="P7" s="381" t="n">
        <v>8</v>
      </c>
    </row>
    <row r="8" ht="15.6" customHeight="1">
      <c r="A8" s="364" t="n"/>
      <c r="B8" s="365" t="n"/>
      <c r="C8" s="227" t="inlineStr">
        <is>
          <t>공통</t>
        </is>
      </c>
      <c r="D8" s="206" t="inlineStr">
        <is>
          <t>공통국어2</t>
        </is>
      </c>
      <c r="E8" s="221">
        <f>IFERROR(VLOOKUP(D8, 기본학점, 2, FALSE), "")</f>
        <v/>
      </c>
      <c r="F8" s="175" t="n">
        <v>4</v>
      </c>
      <c r="G8" s="147" t="n"/>
      <c r="H8" s="153" t="n">
        <v>4</v>
      </c>
      <c r="I8" s="79" t="n"/>
      <c r="J8" s="78" t="n"/>
      <c r="K8" s="79" t="n"/>
      <c r="L8" s="80" t="n"/>
      <c r="M8" s="205" t="n"/>
      <c r="N8" s="182" t="n"/>
      <c r="O8" s="366" t="n"/>
      <c r="P8" s="370" t="n"/>
    </row>
    <row r="9" ht="15.6" customHeight="1">
      <c r="A9" s="364" t="n"/>
      <c r="B9" s="365" t="n"/>
      <c r="C9" s="227" t="inlineStr">
        <is>
          <t>일반</t>
        </is>
      </c>
      <c r="D9" s="206" t="inlineStr">
        <is>
          <t>문학</t>
        </is>
      </c>
      <c r="E9" s="221">
        <f>IFERROR(VLOOKUP(D9, 기본학점, 2, FALSE), "")</f>
        <v/>
      </c>
      <c r="F9" s="175" t="n">
        <v>3</v>
      </c>
      <c r="G9" s="147" t="n"/>
      <c r="H9" s="153" t="n"/>
      <c r="I9" s="79" t="n">
        <v>3</v>
      </c>
      <c r="J9" s="78" t="n"/>
      <c r="K9" s="79" t="n"/>
      <c r="L9" s="80" t="n"/>
      <c r="M9" s="205" t="n"/>
      <c r="N9" s="182" t="n"/>
      <c r="O9" s="366" t="n"/>
      <c r="P9" s="370" t="n"/>
    </row>
    <row r="10" ht="15.6" customHeight="1">
      <c r="A10" s="364" t="n"/>
      <c r="B10" s="365" t="n"/>
      <c r="C10" s="227" t="inlineStr">
        <is>
          <t>일반</t>
        </is>
      </c>
      <c r="D10" s="206" t="inlineStr">
        <is>
          <t xml:space="preserve">화법과 언어 </t>
        </is>
      </c>
      <c r="E10" s="221">
        <f>IFERROR(VLOOKUP(D10, 기본학점, 2, FALSE), "")</f>
        <v/>
      </c>
      <c r="F10" s="175" t="n">
        <v>3</v>
      </c>
      <c r="G10" s="147" t="n"/>
      <c r="H10" s="153" t="n"/>
      <c r="I10" s="79" t="n"/>
      <c r="J10" s="78" t="n">
        <v>3</v>
      </c>
      <c r="K10" s="79" t="n"/>
      <c r="L10" s="80" t="n"/>
      <c r="M10" s="205" t="n"/>
      <c r="N10" s="182" t="n"/>
      <c r="O10" s="366" t="n"/>
      <c r="P10" s="370" t="n"/>
    </row>
    <row r="11" ht="15.6" customHeight="1">
      <c r="A11" s="364" t="n"/>
      <c r="B11" s="365" t="n"/>
      <c r="C11" s="169" t="inlineStr">
        <is>
          <t>일반</t>
        </is>
      </c>
      <c r="D11" s="206" t="inlineStr">
        <is>
          <t xml:space="preserve">독서와 작문 </t>
        </is>
      </c>
      <c r="E11" s="221">
        <f>IFERROR(VLOOKUP(D11, 기본학점, 2, FALSE), "")</f>
        <v/>
      </c>
      <c r="F11" s="175" t="n">
        <v>4</v>
      </c>
      <c r="G11" s="147" t="n"/>
      <c r="H11" s="153" t="n"/>
      <c r="I11" s="79" t="n"/>
      <c r="J11" s="78" t="n"/>
      <c r="K11" s="79" t="n">
        <v>4</v>
      </c>
      <c r="L11" s="80" t="n"/>
      <c r="M11" s="205" t="n"/>
      <c r="N11" s="182" t="n"/>
      <c r="O11" s="366" t="n"/>
      <c r="P11" s="370" t="n"/>
    </row>
    <row r="12" ht="15.6" customHeight="1">
      <c r="A12" s="364" t="n"/>
      <c r="B12" s="382" t="n"/>
      <c r="C12" s="113" t="inlineStr">
        <is>
          <t>융합</t>
        </is>
      </c>
      <c r="D12" s="206" t="inlineStr">
        <is>
          <t xml:space="preserve">매체 의사소통 </t>
        </is>
      </c>
      <c r="E12" s="171">
        <f>IFERROR(VLOOKUP(D12, 기본학점, 2, FALSE), "")</f>
        <v/>
      </c>
      <c r="F12" s="131" t="n">
        <v>4</v>
      </c>
      <c r="G12" s="145" t="n"/>
      <c r="H12" s="156" t="n"/>
      <c r="I12" s="88" t="n"/>
      <c r="J12" s="89" t="n"/>
      <c r="K12" s="88" t="n"/>
      <c r="L12" s="77" t="n">
        <v>4</v>
      </c>
      <c r="M12" s="202" t="n"/>
      <c r="N12" s="183" t="n"/>
      <c r="O12" s="383" t="n"/>
      <c r="P12" s="384" t="n"/>
    </row>
    <row r="13" ht="15.6" customHeight="1">
      <c r="A13" s="364" t="n"/>
      <c r="B13" s="385" t="inlineStr">
        <is>
          <t>수 학</t>
        </is>
      </c>
      <c r="C13" s="81" t="inlineStr">
        <is>
          <t>공통</t>
        </is>
      </c>
      <c r="D13" s="209" t="inlineStr">
        <is>
          <t>공통수학1</t>
        </is>
      </c>
      <c r="E13" s="228">
        <f>IFERROR(VLOOKUP(D13, 기본학점, 2, FALSE), "")</f>
        <v/>
      </c>
      <c r="F13" s="170" t="n">
        <v>4</v>
      </c>
      <c r="G13" s="127" t="n">
        <v>4</v>
      </c>
      <c r="H13" s="154" t="n"/>
      <c r="I13" s="83" t="n"/>
      <c r="J13" s="82" t="n"/>
      <c r="K13" s="127" t="n"/>
      <c r="L13" s="154" t="n"/>
      <c r="M13" s="210" t="n"/>
      <c r="N13" s="184" t="n"/>
      <c r="O13" s="321">
        <f>SUM(F13:F18)</f>
        <v/>
      </c>
      <c r="P13" s="312" t="n">
        <v>8</v>
      </c>
    </row>
    <row r="14" ht="15.6" customHeight="1">
      <c r="A14" s="364" t="n"/>
      <c r="B14" s="365" t="n"/>
      <c r="C14" s="169" t="inlineStr">
        <is>
          <t>공통</t>
        </is>
      </c>
      <c r="D14" s="206" t="inlineStr">
        <is>
          <t>공통수학2</t>
        </is>
      </c>
      <c r="E14" s="221">
        <f>IFERROR(VLOOKUP(D14, 기본학점, 2, FALSE), "")</f>
        <v/>
      </c>
      <c r="F14" s="196" t="n">
        <v>4</v>
      </c>
      <c r="G14" s="130" t="n"/>
      <c r="H14" s="153" t="n">
        <v>4</v>
      </c>
      <c r="I14" s="79" t="n"/>
      <c r="J14" s="78" t="n"/>
      <c r="K14" s="130" t="n"/>
      <c r="L14" s="153" t="n"/>
      <c r="M14" s="205" t="n"/>
      <c r="N14" s="182" t="n"/>
      <c r="O14" s="369" t="n"/>
      <c r="P14" s="370" t="n"/>
    </row>
    <row r="15" ht="15.6" customHeight="1">
      <c r="A15" s="364" t="n"/>
      <c r="B15" s="365" t="n"/>
      <c r="C15" s="169" t="inlineStr">
        <is>
          <t>일반</t>
        </is>
      </c>
      <c r="D15" s="206" t="inlineStr">
        <is>
          <t>대수</t>
        </is>
      </c>
      <c r="E15" s="221">
        <f>IFERROR(VLOOKUP(D15, 기본학점, 2, FALSE), "")</f>
        <v/>
      </c>
      <c r="F15" s="175" t="n">
        <v>4</v>
      </c>
      <c r="G15" s="130" t="n"/>
      <c r="H15" s="153" t="n"/>
      <c r="I15" s="79" t="n">
        <v>4</v>
      </c>
      <c r="J15" s="78" t="n"/>
      <c r="K15" s="130" t="n"/>
      <c r="L15" s="153" t="n"/>
      <c r="M15" s="205" t="n"/>
      <c r="N15" s="182" t="n"/>
      <c r="O15" s="369" t="n"/>
      <c r="P15" s="370" t="n"/>
    </row>
    <row r="16" ht="15.6" customHeight="1">
      <c r="A16" s="364" t="n"/>
      <c r="B16" s="365" t="n"/>
      <c r="C16" s="169" t="inlineStr">
        <is>
          <t>일반</t>
        </is>
      </c>
      <c r="D16" s="206" t="inlineStr">
        <is>
          <t>미적분Ⅰ</t>
        </is>
      </c>
      <c r="E16" s="221">
        <f>IFERROR(VLOOKUP(D16, 기본학점, 2, FALSE), "")</f>
        <v/>
      </c>
      <c r="F16" s="175" t="n">
        <v>4</v>
      </c>
      <c r="G16" s="130" t="n"/>
      <c r="H16" s="153" t="n"/>
      <c r="I16" s="79" t="n"/>
      <c r="J16" s="78" t="n">
        <v>4</v>
      </c>
      <c r="K16" s="130" t="n"/>
      <c r="L16" s="153" t="n"/>
      <c r="M16" s="205" t="n"/>
      <c r="N16" s="182" t="n"/>
      <c r="O16" s="369" t="n"/>
      <c r="P16" s="370" t="n"/>
    </row>
    <row r="17" ht="15.6" customHeight="1">
      <c r="A17" s="364" t="n"/>
      <c r="B17" s="365" t="n"/>
      <c r="C17" s="169" t="inlineStr">
        <is>
          <t>일반</t>
        </is>
      </c>
      <c r="D17" s="206" t="inlineStr">
        <is>
          <t>확률과 통계</t>
        </is>
      </c>
      <c r="E17" s="221">
        <f>IFERROR(VLOOKUP(D17, 기본학점, 2, FALSE), "")</f>
        <v/>
      </c>
      <c r="F17" s="175" t="n">
        <v>3</v>
      </c>
      <c r="G17" s="130" t="n"/>
      <c r="H17" s="153" t="n"/>
      <c r="I17" s="79" t="n"/>
      <c r="J17" s="78" t="n"/>
      <c r="K17" s="79" t="n">
        <v>3</v>
      </c>
      <c r="L17" s="78" t="n"/>
      <c r="M17" s="205" t="n"/>
      <c r="N17" s="182" t="n"/>
      <c r="O17" s="369" t="n"/>
      <c r="P17" s="370" t="n"/>
    </row>
    <row r="18" ht="15.6" customHeight="1">
      <c r="A18" s="364" t="n"/>
      <c r="B18" s="382" t="n"/>
      <c r="C18" s="113" t="inlineStr">
        <is>
          <t>융합</t>
        </is>
      </c>
      <c r="D18" s="211" t="inlineStr">
        <is>
          <t xml:space="preserve">수학과 문화 </t>
        </is>
      </c>
      <c r="E18" s="171">
        <f>IFERROR(VLOOKUP(D18, 기본학점, 2, FALSE), "")</f>
        <v/>
      </c>
      <c r="F18" s="172" t="n">
        <v>3</v>
      </c>
      <c r="G18" s="129" t="n"/>
      <c r="H18" s="155" t="n"/>
      <c r="I18" s="86" t="n"/>
      <c r="J18" s="85" t="n"/>
      <c r="K18" s="86" t="n"/>
      <c r="L18" s="85" t="n">
        <v>3</v>
      </c>
      <c r="M18" s="207" t="n"/>
      <c r="N18" s="113" t="n"/>
      <c r="O18" s="386" t="n"/>
      <c r="P18" s="370" t="n"/>
    </row>
    <row r="19" ht="15.6" customHeight="1">
      <c r="A19" s="364" t="n"/>
      <c r="B19" s="385" t="inlineStr">
        <is>
          <t>영 어</t>
        </is>
      </c>
      <c r="C19" s="81" t="inlineStr">
        <is>
          <t>공통</t>
        </is>
      </c>
      <c r="D19" s="209" t="inlineStr">
        <is>
          <t>공통영어1</t>
        </is>
      </c>
      <c r="E19" s="228">
        <f>IFERROR(VLOOKUP(D19, 기본학점, 2, FALSE), "")</f>
        <v/>
      </c>
      <c r="F19" s="173" t="n">
        <v>4</v>
      </c>
      <c r="G19" s="146" t="n">
        <v>4</v>
      </c>
      <c r="H19" s="154" t="n"/>
      <c r="I19" s="83" t="n"/>
      <c r="J19" s="82" t="n"/>
      <c r="K19" s="83" t="n"/>
      <c r="L19" s="82" t="n"/>
      <c r="M19" s="210" t="n"/>
      <c r="N19" s="184" t="n"/>
      <c r="O19" s="319">
        <f>SUM(F19:F24)</f>
        <v/>
      </c>
      <c r="P19" s="387" t="n">
        <v>8</v>
      </c>
    </row>
    <row r="20" ht="15.6" customHeight="1">
      <c r="A20" s="364" t="n"/>
      <c r="B20" s="365" t="n"/>
      <c r="C20" s="169" t="inlineStr">
        <is>
          <t>공통</t>
        </is>
      </c>
      <c r="D20" s="206" t="inlineStr">
        <is>
          <t>공통영어2</t>
        </is>
      </c>
      <c r="E20" s="221">
        <f>IFERROR(VLOOKUP(D20, 기본학점, 2, FALSE), "")</f>
        <v/>
      </c>
      <c r="F20" s="175" t="n">
        <v>4</v>
      </c>
      <c r="G20" s="147" t="n"/>
      <c r="H20" s="153" t="n">
        <v>4</v>
      </c>
      <c r="I20" s="79" t="n"/>
      <c r="J20" s="78" t="n"/>
      <c r="K20" s="79" t="n"/>
      <c r="L20" s="78" t="n"/>
      <c r="M20" s="205" t="n"/>
      <c r="N20" s="182" t="n"/>
      <c r="O20" s="369" t="n"/>
      <c r="P20" s="370" t="n"/>
    </row>
    <row r="21" ht="15.6" customHeight="1">
      <c r="A21" s="364" t="n"/>
      <c r="B21" s="365" t="n"/>
      <c r="C21" s="169" t="inlineStr">
        <is>
          <t>일반</t>
        </is>
      </c>
      <c r="D21" s="206" t="inlineStr">
        <is>
          <t>영어Ⅰ</t>
        </is>
      </c>
      <c r="E21" s="221">
        <f>IFERROR(VLOOKUP(D21, 기본학점, 2, FALSE), "")</f>
        <v/>
      </c>
      <c r="F21" s="175" t="n">
        <v>3</v>
      </c>
      <c r="G21" s="147" t="n"/>
      <c r="H21" s="153" t="n"/>
      <c r="I21" s="79" t="n">
        <v>3</v>
      </c>
      <c r="J21" s="78" t="n"/>
      <c r="K21" s="79" t="n"/>
      <c r="L21" s="78" t="n"/>
      <c r="M21" s="205" t="n"/>
      <c r="N21" s="182" t="n"/>
      <c r="O21" s="369" t="n"/>
      <c r="P21" s="370" t="n"/>
    </row>
    <row r="22" ht="15.6" customHeight="1">
      <c r="A22" s="364" t="n"/>
      <c r="B22" s="365" t="n"/>
      <c r="C22" s="169" t="inlineStr">
        <is>
          <t>일반</t>
        </is>
      </c>
      <c r="D22" s="206" t="inlineStr">
        <is>
          <t>영어Ⅱ</t>
        </is>
      </c>
      <c r="E22" s="221">
        <f>IFERROR(VLOOKUP(D22, 기본학점, 2, FALSE), "")</f>
        <v/>
      </c>
      <c r="F22" s="175" t="n">
        <v>3</v>
      </c>
      <c r="G22" s="147" t="n"/>
      <c r="H22" s="153" t="n"/>
      <c r="I22" s="79" t="n"/>
      <c r="J22" s="78" t="n">
        <v>3</v>
      </c>
      <c r="K22" s="79" t="n"/>
      <c r="L22" s="78" t="n"/>
      <c r="M22" s="205" t="n"/>
      <c r="N22" s="182" t="n"/>
      <c r="O22" s="369" t="n"/>
      <c r="P22" s="370" t="n"/>
    </row>
    <row r="23" ht="15.6" customHeight="1">
      <c r="A23" s="364" t="n"/>
      <c r="B23" s="365" t="n"/>
      <c r="C23" s="169" t="inlineStr">
        <is>
          <t>일반</t>
        </is>
      </c>
      <c r="D23" s="206" t="inlineStr">
        <is>
          <t>영어 독해와 작문</t>
        </is>
      </c>
      <c r="E23" s="221">
        <f>IFERROR(VLOOKUP(D23, 기본학점, 2, FALSE), "")</f>
        <v/>
      </c>
      <c r="F23" s="175" t="n">
        <v>4</v>
      </c>
      <c r="G23" s="147" t="n"/>
      <c r="H23" s="153" t="n"/>
      <c r="I23" s="79" t="n"/>
      <c r="J23" s="78" t="n"/>
      <c r="K23" s="79" t="n">
        <v>4</v>
      </c>
      <c r="L23" s="78" t="n"/>
      <c r="M23" s="205" t="n"/>
      <c r="N23" s="182" t="n"/>
      <c r="O23" s="369" t="n"/>
      <c r="P23" s="370" t="n"/>
    </row>
    <row r="24" ht="15.6" customHeight="1">
      <c r="A24" s="364" t="n"/>
      <c r="B24" s="382" t="n"/>
      <c r="C24" s="113" t="inlineStr">
        <is>
          <t>진로</t>
        </is>
      </c>
      <c r="D24" s="207" t="inlineStr">
        <is>
          <t xml:space="preserve">심화 영어 독해와 작문 </t>
        </is>
      </c>
      <c r="E24" s="171">
        <f>IFERROR(VLOOKUP(D24, 기본학점, 2, FALSE), "")</f>
        <v/>
      </c>
      <c r="F24" s="131" t="n">
        <v>4</v>
      </c>
      <c r="G24" s="218" t="n"/>
      <c r="H24" s="219" t="n"/>
      <c r="I24" s="90" t="n"/>
      <c r="J24" s="91" t="n"/>
      <c r="K24" s="90" t="n"/>
      <c r="L24" s="91" t="n">
        <v>4</v>
      </c>
      <c r="M24" s="207" t="n"/>
      <c r="N24" s="113" t="n"/>
      <c r="O24" s="369" t="n"/>
      <c r="P24" s="384" t="n"/>
    </row>
    <row r="25" ht="15.6" customHeight="1">
      <c r="A25" s="364" t="n"/>
      <c r="B25" s="385" t="inlineStr">
        <is>
          <t>사 회
(역사/도덕 포함)</t>
        </is>
      </c>
      <c r="C25" s="122" t="inlineStr">
        <is>
          <t>공통</t>
        </is>
      </c>
      <c r="D25" s="209" t="inlineStr">
        <is>
          <t>한국사1</t>
        </is>
      </c>
      <c r="E25" s="228">
        <f>IFERROR(VLOOKUP(D25, 기본학점, 2, FALSE), "")</f>
        <v/>
      </c>
      <c r="F25" s="173" t="n">
        <v>3</v>
      </c>
      <c r="G25" s="146" t="n">
        <v>3</v>
      </c>
      <c r="H25" s="154" t="n"/>
      <c r="I25" s="83" t="n"/>
      <c r="J25" s="82" t="n"/>
      <c r="K25" s="83" t="n"/>
      <c r="L25" s="84" t="n"/>
      <c r="M25" s="210" t="n"/>
      <c r="N25" s="184" t="n"/>
      <c r="O25" s="388">
        <f>SUM(F25:F26)</f>
        <v/>
      </c>
      <c r="P25" s="387" t="n">
        <v>6</v>
      </c>
    </row>
    <row r="26" ht="15.6" customHeight="1">
      <c r="A26" s="364" t="n"/>
      <c r="B26" s="365" t="n"/>
      <c r="C26" s="121" t="inlineStr">
        <is>
          <t>공통</t>
        </is>
      </c>
      <c r="D26" s="211" t="inlineStr">
        <is>
          <t>한국사2</t>
        </is>
      </c>
      <c r="E26" s="195">
        <f>IFERROR(VLOOKUP(D26, 기본학점, 2, FALSE), "")</f>
        <v/>
      </c>
      <c r="F26" s="172" t="n">
        <v>3</v>
      </c>
      <c r="G26" s="148" t="n"/>
      <c r="H26" s="155" t="n">
        <v>3</v>
      </c>
      <c r="I26" s="86" t="n"/>
      <c r="J26" s="85" t="n"/>
      <c r="K26" s="86" t="n"/>
      <c r="L26" s="85" t="n"/>
      <c r="M26" s="211" t="n"/>
      <c r="N26" s="121" t="n"/>
      <c r="O26" s="386" t="n"/>
      <c r="P26" s="384" t="n"/>
    </row>
    <row r="27" ht="15.6" customHeight="1">
      <c r="A27" s="364" t="n"/>
      <c r="B27" s="365" t="n"/>
      <c r="C27" s="81" t="inlineStr">
        <is>
          <t>공통</t>
        </is>
      </c>
      <c r="D27" s="209" t="inlineStr">
        <is>
          <t>통합사회1</t>
        </is>
      </c>
      <c r="E27" s="228">
        <f>IFERROR(VLOOKUP(D27, 기본학점, 2, FALSE), "")</f>
        <v/>
      </c>
      <c r="F27" s="173" t="n">
        <v>4</v>
      </c>
      <c r="G27" s="146" t="n">
        <v>4</v>
      </c>
      <c r="H27" s="154" t="n"/>
      <c r="I27" s="83" t="n"/>
      <c r="J27" s="82" t="n"/>
      <c r="K27" s="83" t="n"/>
      <c r="L27" s="84" t="n"/>
      <c r="M27" s="210" t="n"/>
      <c r="N27" s="81" t="n"/>
      <c r="O27" s="388">
        <f>SUM(F27:F28)</f>
        <v/>
      </c>
      <c r="P27" s="387" t="n">
        <v>8</v>
      </c>
    </row>
    <row r="28" ht="15.6" customHeight="1">
      <c r="A28" s="364" t="n"/>
      <c r="B28" s="382" t="n"/>
      <c r="C28" s="121" t="inlineStr">
        <is>
          <t>공통</t>
        </is>
      </c>
      <c r="D28" s="211" t="inlineStr">
        <is>
          <t>통합사회2</t>
        </is>
      </c>
      <c r="E28" s="195">
        <f>IFERROR(VLOOKUP(D28, 기본학점, 2, FALSE), "")</f>
        <v/>
      </c>
      <c r="F28" s="172" t="n">
        <v>4</v>
      </c>
      <c r="G28" s="148" t="n"/>
      <c r="H28" s="155" t="n">
        <v>4</v>
      </c>
      <c r="I28" s="86" t="n"/>
      <c r="J28" s="85" t="n"/>
      <c r="K28" s="86" t="n"/>
      <c r="L28" s="85" t="n"/>
      <c r="M28" s="211" t="n"/>
      <c r="N28" s="121" t="n"/>
      <c r="O28" s="386" t="n"/>
      <c r="P28" s="384" t="n"/>
    </row>
    <row r="29" ht="15.6" customHeight="1">
      <c r="A29" s="364" t="n"/>
      <c r="B29" s="385" t="inlineStr">
        <is>
          <t>과 학</t>
        </is>
      </c>
      <c r="C29" s="81" t="inlineStr">
        <is>
          <t>공통</t>
        </is>
      </c>
      <c r="D29" s="209" t="inlineStr">
        <is>
          <t>통합과학1</t>
        </is>
      </c>
      <c r="E29" s="228">
        <f>IFERROR(VLOOKUP(D29, 기본학점, 2, FALSE), "")</f>
        <v/>
      </c>
      <c r="F29" s="173" t="n">
        <v>4</v>
      </c>
      <c r="G29" s="146" t="n">
        <v>4</v>
      </c>
      <c r="H29" s="154" t="n"/>
      <c r="I29" s="83" t="n"/>
      <c r="J29" s="82" t="n"/>
      <c r="K29" s="92" t="n"/>
      <c r="L29" s="93" t="n"/>
      <c r="M29" s="210" t="n"/>
      <c r="N29" s="81" t="n"/>
      <c r="O29" s="388">
        <f>SUM(F29:F32)</f>
        <v/>
      </c>
      <c r="P29" s="387" t="n">
        <v>10</v>
      </c>
    </row>
    <row r="30" ht="15.6" customHeight="1">
      <c r="A30" s="364" t="n"/>
      <c r="B30" s="365" t="n"/>
      <c r="C30" s="120" t="inlineStr">
        <is>
          <t>공통</t>
        </is>
      </c>
      <c r="D30" s="206" t="inlineStr">
        <is>
          <t>통합과학2</t>
        </is>
      </c>
      <c r="E30" s="221">
        <f>IFERROR(VLOOKUP(D30, 기본학점, 2, FALSE), "")</f>
        <v/>
      </c>
      <c r="F30" s="175" t="n">
        <v>4</v>
      </c>
      <c r="G30" s="147" t="n"/>
      <c r="H30" s="153" t="n">
        <v>4</v>
      </c>
      <c r="I30" s="79" t="n"/>
      <c r="J30" s="78" t="n"/>
      <c r="K30" s="94" t="n"/>
      <c r="L30" s="95" t="n"/>
      <c r="M30" s="205" t="n"/>
      <c r="N30" s="182" t="n"/>
      <c r="O30" s="369" t="n"/>
      <c r="P30" s="370" t="n"/>
    </row>
    <row r="31" ht="15.6" customHeight="1">
      <c r="A31" s="364" t="n"/>
      <c r="B31" s="365" t="n"/>
      <c r="C31" s="169" t="inlineStr">
        <is>
          <t>공통</t>
        </is>
      </c>
      <c r="D31" s="206" t="inlineStr">
        <is>
          <t>과학탐구실험1</t>
        </is>
      </c>
      <c r="E31" s="221">
        <f>IFERROR(VLOOKUP(D31, 기본학점, 2, FALSE), "")</f>
        <v/>
      </c>
      <c r="F31" s="196" t="n">
        <v>1</v>
      </c>
      <c r="G31" s="147" t="n">
        <v>1</v>
      </c>
      <c r="H31" s="153" t="n"/>
      <c r="I31" s="79" t="n"/>
      <c r="J31" s="78" t="n"/>
      <c r="K31" s="94" t="n"/>
      <c r="L31" s="95" t="n"/>
      <c r="M31" s="204" t="n"/>
      <c r="N31" s="182" t="n"/>
      <c r="O31" s="369" t="n"/>
      <c r="P31" s="370" t="n"/>
    </row>
    <row r="32" ht="15.6" customHeight="1">
      <c r="A32" s="364" t="n"/>
      <c r="B32" s="382" t="n"/>
      <c r="C32" s="112" t="inlineStr">
        <is>
          <t>공통</t>
        </is>
      </c>
      <c r="D32" s="211" t="inlineStr">
        <is>
          <t>과학탐구실험2</t>
        </is>
      </c>
      <c r="E32" s="171">
        <f>IFERROR(VLOOKUP(D32, 기본학점, 2, FALSE), "")</f>
        <v/>
      </c>
      <c r="F32" s="131" t="n">
        <v>1</v>
      </c>
      <c r="G32" s="148" t="n"/>
      <c r="H32" s="155" t="n">
        <v>1</v>
      </c>
      <c r="I32" s="86" t="n"/>
      <c r="J32" s="85" t="n"/>
      <c r="K32" s="86" t="n"/>
      <c r="L32" s="87" t="n"/>
      <c r="M32" s="208" t="n"/>
      <c r="N32" s="183" t="n"/>
      <c r="O32" s="386" t="n"/>
      <c r="P32" s="384" t="n"/>
      <c r="R32" s="6" t="n"/>
      <c r="S32" s="6" t="n"/>
      <c r="T32" s="6" t="n"/>
    </row>
    <row r="33" ht="15.6" customHeight="1">
      <c r="A33" s="364" t="n"/>
      <c r="B33" s="385" t="inlineStr">
        <is>
          <t>체 육</t>
        </is>
      </c>
      <c r="C33" s="81" t="inlineStr">
        <is>
          <t>일반</t>
        </is>
      </c>
      <c r="D33" s="209" t="inlineStr">
        <is>
          <t>체육1</t>
        </is>
      </c>
      <c r="E33" s="228">
        <f>IFERROR(VLOOKUP(D33, 기본학점, 2, FALSE), "")</f>
        <v/>
      </c>
      <c r="F33" s="170" t="n">
        <v>2</v>
      </c>
      <c r="G33" s="127" t="n">
        <v>2</v>
      </c>
      <c r="H33" s="154" t="n"/>
      <c r="I33" s="83" t="n"/>
      <c r="J33" s="82" t="n"/>
      <c r="K33" s="83" t="n"/>
      <c r="L33" s="84" t="n"/>
      <c r="M33" s="210" t="n"/>
      <c r="N33" s="81" t="n"/>
      <c r="O33" s="388">
        <f>SUM(F33:F38)</f>
        <v/>
      </c>
      <c r="P33" s="387" t="n">
        <v>10</v>
      </c>
      <c r="R33" s="6" t="n"/>
      <c r="S33" s="6" t="n"/>
      <c r="T33" s="6" t="n"/>
    </row>
    <row r="34" ht="15.6" customHeight="1">
      <c r="A34" s="364" t="n"/>
      <c r="B34" s="365" t="n"/>
      <c r="C34" s="169" t="inlineStr">
        <is>
          <t>일반</t>
        </is>
      </c>
      <c r="D34" s="206" t="inlineStr">
        <is>
          <t>체육2</t>
        </is>
      </c>
      <c r="E34" s="221">
        <f>IFERROR(VLOOKUP(D34, 기본학점, 2, FALSE), "")</f>
        <v/>
      </c>
      <c r="F34" s="175" t="n">
        <v>2</v>
      </c>
      <c r="G34" s="130" t="n"/>
      <c r="H34" s="153" t="n">
        <v>2</v>
      </c>
      <c r="I34" s="79" t="n"/>
      <c r="J34" s="78" t="n"/>
      <c r="K34" s="79" t="n"/>
      <c r="L34" s="80" t="n"/>
      <c r="M34" s="205" t="n"/>
      <c r="N34" s="182" t="n"/>
      <c r="O34" s="369" t="n"/>
      <c r="P34" s="370" t="n"/>
      <c r="R34" s="6" t="n"/>
      <c r="S34" s="6" t="n"/>
      <c r="T34" s="6" t="n"/>
    </row>
    <row r="35" ht="15.6" customHeight="1">
      <c r="A35" s="364" t="n"/>
      <c r="B35" s="365" t="n"/>
      <c r="C35" s="169" t="inlineStr">
        <is>
          <t>진로</t>
        </is>
      </c>
      <c r="D35" s="206" t="inlineStr">
        <is>
          <t xml:space="preserve">운동과 건강 </t>
        </is>
      </c>
      <c r="E35" s="221">
        <f>IFERROR(VLOOKUP(D35, 기본학점, 2, FALSE), "")</f>
        <v/>
      </c>
      <c r="F35" s="175" t="n">
        <v>2</v>
      </c>
      <c r="G35" s="130" t="n"/>
      <c r="H35" s="153" t="n"/>
      <c r="I35" s="79" t="n">
        <v>2</v>
      </c>
      <c r="J35" s="78" t="n"/>
      <c r="K35" s="79" t="n"/>
      <c r="L35" s="80" t="n"/>
      <c r="M35" s="205" t="n"/>
      <c r="N35" s="182" t="n"/>
      <c r="O35" s="369" t="n"/>
      <c r="P35" s="370" t="n"/>
      <c r="R35" s="6" t="n"/>
      <c r="S35" s="6" t="n"/>
      <c r="T35" s="6" t="n"/>
    </row>
    <row r="36" ht="15.6" customHeight="1">
      <c r="A36" s="364" t="n"/>
      <c r="B36" s="365" t="n"/>
      <c r="C36" s="169" t="inlineStr">
        <is>
          <t>융합</t>
        </is>
      </c>
      <c r="D36" s="206" t="inlineStr">
        <is>
          <t xml:space="preserve">스포츠 생활1 </t>
        </is>
      </c>
      <c r="E36" s="221">
        <f>IFERROR(VLOOKUP(D36, 기본학점, 2, FALSE), "")</f>
        <v/>
      </c>
      <c r="F36" s="175" t="n">
        <v>2</v>
      </c>
      <c r="G36" s="130" t="n"/>
      <c r="H36" s="153" t="n"/>
      <c r="I36" s="79" t="n"/>
      <c r="J36" s="78" t="n">
        <v>2</v>
      </c>
      <c r="K36" s="79" t="n"/>
      <c r="L36" s="80" t="n"/>
      <c r="M36" s="205" t="n"/>
      <c r="N36" s="182" t="n"/>
      <c r="O36" s="369" t="n"/>
      <c r="P36" s="370" t="n"/>
      <c r="R36" s="6" t="n"/>
      <c r="S36" s="6" t="n"/>
      <c r="T36" s="6" t="n"/>
    </row>
    <row r="37" ht="15.6" customHeight="1">
      <c r="A37" s="364" t="n"/>
      <c r="B37" s="365" t="n"/>
      <c r="C37" s="169" t="inlineStr">
        <is>
          <t>진로</t>
        </is>
      </c>
      <c r="D37" s="206" t="inlineStr">
        <is>
          <t>스포츠 과학</t>
        </is>
      </c>
      <c r="E37" s="221">
        <f>IFERROR(VLOOKUP(D37, 기본학점, 2, FALSE), "")</f>
        <v/>
      </c>
      <c r="F37" s="175" t="n">
        <v>1</v>
      </c>
      <c r="G37" s="147" t="n"/>
      <c r="H37" s="153" t="n"/>
      <c r="I37" s="79" t="n"/>
      <c r="J37" s="78" t="n"/>
      <c r="K37" s="79" t="n">
        <v>1</v>
      </c>
      <c r="L37" s="80" t="n"/>
      <c r="M37" s="205" t="n"/>
      <c r="N37" s="182" t="n"/>
      <c r="O37" s="369" t="n"/>
      <c r="P37" s="370" t="n"/>
      <c r="R37" s="6" t="n"/>
      <c r="S37" s="6" t="n"/>
      <c r="T37" s="6" t="n"/>
    </row>
    <row r="38" ht="15.6" customHeight="1">
      <c r="A38" s="364" t="n"/>
      <c r="B38" s="382" t="n"/>
      <c r="C38" s="183" t="inlineStr">
        <is>
          <t>진로</t>
        </is>
      </c>
      <c r="D38" s="208" t="inlineStr">
        <is>
          <t>스포츠 문화</t>
        </is>
      </c>
      <c r="E38" s="171">
        <f>IFERROR(VLOOKUP(D38, 기본학점, 2, FALSE), "")</f>
        <v/>
      </c>
      <c r="F38" s="174" t="n">
        <v>1</v>
      </c>
      <c r="G38" s="148" t="n"/>
      <c r="H38" s="155" t="n"/>
      <c r="I38" s="86" t="n"/>
      <c r="J38" s="87" t="n"/>
      <c r="K38" s="86" t="n"/>
      <c r="L38" s="87" t="n">
        <v>1</v>
      </c>
      <c r="M38" s="208" t="n"/>
      <c r="N38" s="183" t="n"/>
      <c r="O38" s="386" t="n"/>
      <c r="P38" s="384" t="n"/>
      <c r="R38" s="6" t="n"/>
      <c r="S38" s="6" t="n"/>
      <c r="T38" s="6" t="n"/>
    </row>
    <row r="39" ht="15.6" customHeight="1">
      <c r="A39" s="364" t="n"/>
      <c r="B39" s="385" t="inlineStr">
        <is>
          <t>예 술</t>
        </is>
      </c>
      <c r="C39" s="81" t="inlineStr">
        <is>
          <t>일반</t>
        </is>
      </c>
      <c r="D39" s="209" t="inlineStr">
        <is>
          <t>음악</t>
        </is>
      </c>
      <c r="E39" s="228">
        <f>IFERROR(VLOOKUP(D39, 기본학점, 2, FALSE), "")</f>
        <v/>
      </c>
      <c r="F39" s="173" t="n">
        <v>3</v>
      </c>
      <c r="G39" s="127" t="n">
        <v>3</v>
      </c>
      <c r="H39" s="154" t="n"/>
      <c r="I39" s="83" t="n"/>
      <c r="J39" s="82" t="n"/>
      <c r="K39" s="83" t="n"/>
      <c r="L39" s="84" t="n"/>
      <c r="M39" s="210" t="n"/>
      <c r="N39" s="81" t="n"/>
      <c r="O39" s="388">
        <f>SUM(F39:F42)</f>
        <v/>
      </c>
      <c r="P39" s="387" t="n">
        <v>10</v>
      </c>
      <c r="R39" s="6" t="n"/>
      <c r="S39" s="6" t="n"/>
      <c r="T39" s="6" t="n"/>
    </row>
    <row r="40" ht="15.6" customHeight="1">
      <c r="A40" s="364" t="n"/>
      <c r="B40" s="365" t="n"/>
      <c r="C40" s="169" t="inlineStr">
        <is>
          <t>진로</t>
        </is>
      </c>
      <c r="D40" s="206" t="inlineStr">
        <is>
          <t>음악 연주와 창작</t>
        </is>
      </c>
      <c r="E40" s="221">
        <f>IFERROR(VLOOKUP(D40, 기본학점, 2, FALSE), "")</f>
        <v/>
      </c>
      <c r="F40" s="175" t="n">
        <v>3</v>
      </c>
      <c r="G40" s="130" t="n"/>
      <c r="H40" s="153" t="n">
        <v>3</v>
      </c>
      <c r="I40" s="79" t="n"/>
      <c r="J40" s="78" t="n"/>
      <c r="K40" s="79" t="n"/>
      <c r="L40" s="80" t="n"/>
      <c r="M40" s="205" t="n"/>
      <c r="N40" s="182" t="n"/>
      <c r="O40" s="369" t="n"/>
      <c r="P40" s="370" t="n"/>
      <c r="R40" s="6" t="n"/>
      <c r="S40" s="6" t="n"/>
      <c r="T40" s="6" t="n"/>
    </row>
    <row r="41" ht="15.6" customHeight="1">
      <c r="A41" s="364" t="n"/>
      <c r="B41" s="365" t="n"/>
      <c r="C41" s="169" t="inlineStr">
        <is>
          <t>일반</t>
        </is>
      </c>
      <c r="D41" s="206" t="inlineStr">
        <is>
          <t>미술</t>
        </is>
      </c>
      <c r="E41" s="221">
        <f>IFERROR(VLOOKUP(D41, 기본학점, 2, FALSE), "")</f>
        <v/>
      </c>
      <c r="F41" s="175" t="n">
        <v>2</v>
      </c>
      <c r="G41" s="130" t="n"/>
      <c r="H41" s="153" t="n"/>
      <c r="I41" s="79" t="n">
        <v>2</v>
      </c>
      <c r="J41" s="78" t="n"/>
      <c r="K41" s="79" t="n"/>
      <c r="L41" s="80" t="n"/>
      <c r="M41" s="205" t="n"/>
      <c r="N41" s="182" t="n"/>
      <c r="O41" s="369" t="n"/>
      <c r="P41" s="370" t="n"/>
      <c r="R41" s="6" t="n"/>
      <c r="S41" s="6" t="n"/>
      <c r="T41" s="6" t="n"/>
    </row>
    <row r="42" ht="15.6" customHeight="1">
      <c r="A42" s="364" t="n"/>
      <c r="B42" s="382" t="n"/>
      <c r="C42" s="113" t="inlineStr">
        <is>
          <t>진로</t>
        </is>
      </c>
      <c r="D42" s="212" t="inlineStr">
        <is>
          <t xml:space="preserve">미술 창작 </t>
        </is>
      </c>
      <c r="E42" s="195">
        <f>IFERROR(VLOOKUP(D42, 기본학점, 2, FALSE), "")</f>
        <v/>
      </c>
      <c r="F42" s="171" t="n">
        <v>2</v>
      </c>
      <c r="G42" s="148" t="n"/>
      <c r="H42" s="155" t="n"/>
      <c r="I42" s="86" t="n"/>
      <c r="J42" s="87" t="n">
        <v>2</v>
      </c>
      <c r="K42" s="86" t="n"/>
      <c r="L42" s="87" t="n"/>
      <c r="M42" s="212" t="n"/>
      <c r="N42" s="185" t="n"/>
      <c r="O42" s="386" t="n"/>
      <c r="P42" s="384" t="n"/>
      <c r="R42" s="6" t="n"/>
      <c r="S42" s="6" t="n"/>
      <c r="T42" s="6" t="n"/>
    </row>
    <row r="43" ht="15.6" customHeight="1">
      <c r="A43" s="364" t="n"/>
      <c r="B43" s="261" t="inlineStr">
        <is>
          <t>기술∙가정/정보</t>
        </is>
      </c>
      <c r="C43" s="81" t="inlineStr">
        <is>
          <t>일반</t>
        </is>
      </c>
      <c r="D43" s="209" t="inlineStr">
        <is>
          <t>정보</t>
        </is>
      </c>
      <c r="E43" s="228">
        <f>IFERROR(VLOOKUP(D43, 기본학점, 2, FALSE), "")</f>
        <v/>
      </c>
      <c r="F43" s="173" t="n">
        <v>3</v>
      </c>
      <c r="G43" s="146" t="n"/>
      <c r="H43" s="154" t="n"/>
      <c r="I43" s="83" t="n">
        <v>3</v>
      </c>
      <c r="J43" s="82" t="inlineStr">
        <is>
          <t>[3]</t>
        </is>
      </c>
      <c r="K43" s="83" t="n"/>
      <c r="L43" s="84" t="n"/>
      <c r="M43" s="210" t="n"/>
      <c r="N43" s="81" t="n"/>
      <c r="O43" s="389">
        <f>SUM(F43:F45)</f>
        <v/>
      </c>
      <c r="P43" s="390" t="n">
        <v>16</v>
      </c>
      <c r="R43" s="6" t="n"/>
      <c r="S43" s="6" t="n"/>
      <c r="T43" s="6" t="n"/>
    </row>
    <row r="44" ht="15.6" customHeight="1">
      <c r="A44" s="364" t="n"/>
      <c r="B44" s="391" t="inlineStr">
        <is>
          <t>교 양</t>
        </is>
      </c>
      <c r="C44" s="81" t="inlineStr">
        <is>
          <t>일반</t>
        </is>
      </c>
      <c r="D44" s="209" t="inlineStr">
        <is>
          <t xml:space="preserve">진로와 직업 </t>
        </is>
      </c>
      <c r="E44" s="228">
        <f>IFERROR(VLOOKUP(D44, 기본학점, 2, FALSE), "")</f>
        <v/>
      </c>
      <c r="F44" s="173" t="n">
        <v>2</v>
      </c>
      <c r="G44" s="127" t="n"/>
      <c r="H44" s="154" t="n"/>
      <c r="I44" s="83" t="n"/>
      <c r="J44" s="82" t="n"/>
      <c r="K44" s="83" t="n">
        <v>2</v>
      </c>
      <c r="L44" s="84" t="inlineStr">
        <is>
          <t>[2]</t>
        </is>
      </c>
      <c r="M44" s="210" t="n"/>
      <c r="N44" s="81" t="n"/>
      <c r="O44" s="366" t="n"/>
      <c r="P44" s="370" t="n"/>
      <c r="R44" s="6" t="n"/>
      <c r="S44" s="6" t="n"/>
      <c r="T44" s="6" t="n"/>
    </row>
    <row r="45" ht="15.6" customHeight="1" thickBot="1">
      <c r="A45" s="371" t="n"/>
      <c r="B45" s="372" t="n"/>
      <c r="C45" s="51" t="inlineStr">
        <is>
          <t>융합</t>
        </is>
      </c>
      <c r="D45" s="213" t="inlineStr">
        <is>
          <t>논술</t>
        </is>
      </c>
      <c r="E45" s="140">
        <f>IFERROR(VLOOKUP(D45, 기본학점, 2, FALSE), "")</f>
        <v/>
      </c>
      <c r="F45" s="140" t="n">
        <v>2</v>
      </c>
      <c r="G45" s="139" t="n"/>
      <c r="H45" s="165" t="n"/>
      <c r="I45" s="53" t="n"/>
      <c r="J45" s="52" t="n"/>
      <c r="K45" s="53" t="inlineStr">
        <is>
          <t>[2]</t>
        </is>
      </c>
      <c r="L45" s="61" t="n">
        <v>2</v>
      </c>
      <c r="M45" s="214" t="n"/>
      <c r="N45" s="183" t="n"/>
      <c r="O45" s="373" t="n"/>
      <c r="P45" s="377" t="n"/>
      <c r="R45" s="6" t="n"/>
      <c r="S45" s="6" t="n"/>
      <c r="T45" s="6" t="n"/>
    </row>
    <row r="46" ht="15.6" customHeight="1">
      <c r="A46" s="264" t="inlineStr">
        <is>
          <t xml:space="preserve">2
학년선택 </t>
        </is>
      </c>
      <c r="B46" s="327" t="inlineStr">
        <is>
          <t>국 어</t>
        </is>
      </c>
      <c r="C46" s="36" t="inlineStr">
        <is>
          <t>진로</t>
        </is>
      </c>
      <c r="D46" s="203" t="inlineStr">
        <is>
          <t xml:space="preserve">주제 탐구 독서 </t>
        </is>
      </c>
      <c r="E46" s="229">
        <f>IFERROR(VLOOKUP(D46, 기본학점, 2, FALSE), "")</f>
        <v/>
      </c>
      <c r="F46" s="176" t="n">
        <v>3</v>
      </c>
      <c r="G46" s="230" t="n"/>
      <c r="H46" s="160" t="n"/>
      <c r="I46" s="392" t="inlineStr">
        <is>
          <t>12
(택4)</t>
        </is>
      </c>
      <c r="J46" s="231" t="n"/>
      <c r="K46" s="9" t="n"/>
      <c r="L46" s="37" t="n"/>
      <c r="M46" s="217" t="n"/>
      <c r="N46" s="187" t="n"/>
      <c r="O46" s="253" t="n">
        <v>27</v>
      </c>
      <c r="P46" s="257" t="n"/>
      <c r="R46" s="6" t="n"/>
      <c r="S46" s="6" t="n"/>
      <c r="T46" s="6" t="n"/>
    </row>
    <row r="47" ht="15.6" customHeight="1">
      <c r="A47" s="364" t="n"/>
      <c r="B47" s="261" t="inlineStr">
        <is>
          <t>수 학</t>
        </is>
      </c>
      <c r="C47" s="19" t="inlineStr">
        <is>
          <t>진로</t>
        </is>
      </c>
      <c r="D47" s="209" t="inlineStr">
        <is>
          <t>기하</t>
        </is>
      </c>
      <c r="E47" s="228">
        <f>IFERROR(VLOOKUP(D47, 기본학점, 2, FALSE), "")</f>
        <v/>
      </c>
      <c r="F47" s="228" t="n">
        <v>3</v>
      </c>
      <c r="G47" s="232" t="n"/>
      <c r="H47" s="157" t="n"/>
      <c r="I47" s="393" t="n"/>
      <c r="J47" s="177" t="n"/>
      <c r="K47" s="17" t="n"/>
      <c r="L47" s="18" t="n"/>
      <c r="M47" s="216" t="n"/>
      <c r="N47" s="81" t="n"/>
      <c r="O47" s="369" t="n"/>
      <c r="P47" s="370" t="n"/>
      <c r="R47" s="6" t="n"/>
      <c r="S47" s="6" t="n"/>
      <c r="T47" s="6" t="n"/>
    </row>
    <row r="48" ht="15.6" customHeight="1">
      <c r="A48" s="364" t="n"/>
      <c r="B48" s="261" t="inlineStr">
        <is>
          <t>영 어</t>
        </is>
      </c>
      <c r="C48" s="19" t="inlineStr">
        <is>
          <t>진로</t>
        </is>
      </c>
      <c r="D48" s="209" t="inlineStr">
        <is>
          <t>영어 발표와 토론</t>
        </is>
      </c>
      <c r="E48" s="228">
        <f>IFERROR(VLOOKUP(D48, 기본학점, 2, FALSE), "")</f>
        <v/>
      </c>
      <c r="F48" s="127" t="n">
        <v>3</v>
      </c>
      <c r="G48" s="132" t="n"/>
      <c r="H48" s="157" t="n"/>
      <c r="I48" s="393" t="n"/>
      <c r="J48" s="177" t="n"/>
      <c r="K48" s="17" t="n"/>
      <c r="L48" s="18" t="n"/>
      <c r="M48" s="216" t="n"/>
      <c r="N48" s="81" t="n"/>
      <c r="O48" s="369" t="n"/>
      <c r="P48" s="370" t="n"/>
    </row>
    <row r="49" ht="15.6" customHeight="1">
      <c r="A49" s="364" t="n"/>
      <c r="B49" s="385" t="inlineStr">
        <is>
          <t>사 회
(역사/도덕 포함)</t>
        </is>
      </c>
      <c r="C49" s="19" t="inlineStr">
        <is>
          <t>일반</t>
        </is>
      </c>
      <c r="D49" s="209" t="inlineStr">
        <is>
          <t>세계시민과 지리</t>
        </is>
      </c>
      <c r="E49" s="228">
        <f>IFERROR(VLOOKUP(D49, 기본학점, 2, FALSE), "")</f>
        <v/>
      </c>
      <c r="F49" s="127" t="n">
        <v>3</v>
      </c>
      <c r="G49" s="132" t="n"/>
      <c r="H49" s="162" t="n"/>
      <c r="I49" s="393" t="n"/>
      <c r="J49" s="233" t="n"/>
      <c r="K49" s="40" t="n"/>
      <c r="L49" s="41" t="n"/>
      <c r="M49" s="216" t="n"/>
      <c r="N49" s="184" t="n"/>
      <c r="O49" s="369" t="n"/>
      <c r="P49" s="370" t="n"/>
    </row>
    <row r="50" ht="15.6" customHeight="1">
      <c r="A50" s="364" t="n"/>
      <c r="B50" s="365" t="n"/>
      <c r="C50" s="10" t="inlineStr">
        <is>
          <t>일반</t>
        </is>
      </c>
      <c r="D50" s="206" t="inlineStr">
        <is>
          <t>세계사</t>
        </is>
      </c>
      <c r="E50" s="221">
        <f>IFERROR(VLOOKUP(D50, 기본학점, 2, FALSE), "")</f>
        <v/>
      </c>
      <c r="F50" s="130" t="n">
        <v>3</v>
      </c>
      <c r="G50" s="55" t="n"/>
      <c r="H50" s="163" t="n"/>
      <c r="I50" s="393" t="n"/>
      <c r="J50" s="234" t="n"/>
      <c r="K50" s="43" t="n"/>
      <c r="L50" s="44" t="n"/>
      <c r="M50" s="215" t="n"/>
      <c r="N50" s="182" t="n"/>
      <c r="O50" s="369" t="n"/>
      <c r="P50" s="370" t="n"/>
    </row>
    <row r="51" ht="15.6" customHeight="1">
      <c r="A51" s="364" t="n"/>
      <c r="B51" s="365" t="n"/>
      <c r="C51" s="10" t="inlineStr">
        <is>
          <t>일반</t>
        </is>
      </c>
      <c r="D51" s="206" t="inlineStr">
        <is>
          <t>사회와 문화</t>
        </is>
      </c>
      <c r="E51" s="221">
        <f>IFERROR(VLOOKUP(D51, 기본학점, 2, FALSE), "")</f>
        <v/>
      </c>
      <c r="F51" s="130" t="n">
        <v>3</v>
      </c>
      <c r="G51" s="55" t="n"/>
      <c r="H51" s="163" t="n"/>
      <c r="I51" s="393" t="n"/>
      <c r="J51" s="234" t="n"/>
      <c r="K51" s="43" t="n"/>
      <c r="L51" s="44" t="n"/>
      <c r="M51" s="215" t="n"/>
      <c r="N51" s="182" t="n"/>
      <c r="O51" s="369" t="n"/>
      <c r="P51" s="370" t="n"/>
    </row>
    <row r="52" ht="15.6" customHeight="1">
      <c r="A52" s="364" t="n"/>
      <c r="B52" s="382" t="n"/>
      <c r="C52" s="20" t="inlineStr">
        <is>
          <t>일반</t>
        </is>
      </c>
      <c r="D52" s="211" t="inlineStr">
        <is>
          <t>현대사회와 윤리</t>
        </is>
      </c>
      <c r="E52" s="171">
        <f>IFERROR(VLOOKUP(D52, 기본학점, 2, FALSE), "")</f>
        <v/>
      </c>
      <c r="F52" s="171" t="n">
        <v>3</v>
      </c>
      <c r="G52" s="133" t="n"/>
      <c r="H52" s="164" t="n"/>
      <c r="I52" s="393" t="n"/>
      <c r="J52" s="45" t="n"/>
      <c r="K52" s="46" t="n"/>
      <c r="L52" s="47" t="n"/>
      <c r="M52" s="207" t="n"/>
      <c r="N52" s="113" t="n"/>
      <c r="O52" s="369" t="n"/>
      <c r="P52" s="370" t="n"/>
    </row>
    <row r="53" ht="15.6" customHeight="1">
      <c r="A53" s="364" t="n"/>
      <c r="B53" s="385" t="inlineStr">
        <is>
          <t>과 학</t>
        </is>
      </c>
      <c r="C53" s="19" t="inlineStr">
        <is>
          <t>일반</t>
        </is>
      </c>
      <c r="D53" s="209" t="inlineStr">
        <is>
          <t>물리학</t>
        </is>
      </c>
      <c r="E53" s="228">
        <f>IFERROR(VLOOKUP(D53, 기본학점, 2, FALSE), "")</f>
        <v/>
      </c>
      <c r="F53" s="127" t="n">
        <v>3</v>
      </c>
      <c r="G53" s="132" t="n"/>
      <c r="H53" s="162" t="n"/>
      <c r="I53" s="393" t="n"/>
      <c r="J53" s="67" t="n"/>
      <c r="K53" s="15" t="n"/>
      <c r="L53" s="39" t="n"/>
      <c r="M53" s="216" t="n"/>
      <c r="N53" s="184" t="n"/>
      <c r="O53" s="369" t="n"/>
      <c r="P53" s="370" t="n"/>
    </row>
    <row r="54" ht="15.6" customHeight="1">
      <c r="A54" s="364" t="n"/>
      <c r="B54" s="365" t="n"/>
      <c r="C54" s="10" t="inlineStr">
        <is>
          <t>일반</t>
        </is>
      </c>
      <c r="D54" s="206" t="inlineStr">
        <is>
          <t>화학</t>
        </is>
      </c>
      <c r="E54" s="221">
        <f>IFERROR(VLOOKUP(D54, 기본학점, 2, FALSE), "")</f>
        <v/>
      </c>
      <c r="F54" s="130" t="n">
        <v>3</v>
      </c>
      <c r="G54" s="55" t="n"/>
      <c r="H54" s="163" t="n"/>
      <c r="I54" s="393" t="n"/>
      <c r="J54" s="64" t="n"/>
      <c r="K54" s="11" t="n"/>
      <c r="L54" s="42" t="n"/>
      <c r="M54" s="215" t="n"/>
      <c r="N54" s="182" t="n"/>
      <c r="O54" s="369" t="n"/>
      <c r="P54" s="370" t="n"/>
    </row>
    <row r="55" ht="15.6" customHeight="1">
      <c r="A55" s="364" t="n"/>
      <c r="B55" s="365" t="n"/>
      <c r="C55" s="10" t="inlineStr">
        <is>
          <t>일반</t>
        </is>
      </c>
      <c r="D55" s="206" t="inlineStr">
        <is>
          <t xml:space="preserve">생명과학 </t>
        </is>
      </c>
      <c r="E55" s="221">
        <f>IFERROR(VLOOKUP(D55, 기본학점, 2, FALSE), "")</f>
        <v/>
      </c>
      <c r="F55" s="130" t="n">
        <v>3</v>
      </c>
      <c r="G55" s="55" t="n"/>
      <c r="H55" s="163" t="n"/>
      <c r="I55" s="393" t="n"/>
      <c r="J55" s="64" t="n"/>
      <c r="K55" s="11" t="n"/>
      <c r="L55" s="42" t="n"/>
      <c r="M55" s="215" t="n"/>
      <c r="N55" s="182" t="n"/>
      <c r="O55" s="369" t="n"/>
      <c r="P55" s="370" t="n"/>
    </row>
    <row r="56" ht="15.6" customHeight="1">
      <c r="A56" s="364" t="n"/>
      <c r="B56" s="382" t="n"/>
      <c r="C56" s="27" t="inlineStr">
        <is>
          <t>일반</t>
        </is>
      </c>
      <c r="D56" s="211" t="inlineStr">
        <is>
          <t>지구과학</t>
        </is>
      </c>
      <c r="E56" s="171">
        <f>IFERROR(VLOOKUP(D56, 기본학점, 2, FALSE), "")</f>
        <v/>
      </c>
      <c r="F56" s="126" t="n">
        <v>3</v>
      </c>
      <c r="G56" s="151" t="n"/>
      <c r="H56" s="159" t="n"/>
      <c r="I56" s="394" t="n"/>
      <c r="J56" s="50" t="n"/>
      <c r="K56" s="49" t="n"/>
      <c r="L56" s="22" t="n"/>
      <c r="M56" s="207" t="n"/>
      <c r="N56" s="183" t="n"/>
      <c r="O56" s="369" t="n"/>
      <c r="P56" s="370" t="n"/>
    </row>
    <row r="57" ht="15.6" customHeight="1">
      <c r="A57" s="364" t="n"/>
      <c r="B57" s="385" t="inlineStr">
        <is>
          <t>제2외국어/한문</t>
        </is>
      </c>
      <c r="C57" s="19" t="inlineStr">
        <is>
          <t>일반</t>
        </is>
      </c>
      <c r="D57" s="209" t="inlineStr">
        <is>
          <t xml:space="preserve">일본어 </t>
        </is>
      </c>
      <c r="E57" s="228">
        <f>IFERROR(VLOOKUP(D57, 기본학점, 2, FALSE), "")</f>
        <v/>
      </c>
      <c r="F57" s="170" t="n">
        <v>3</v>
      </c>
      <c r="G57" s="132" t="n"/>
      <c r="H57" s="157" t="n"/>
      <c r="I57" s="308" t="inlineStr">
        <is>
          <t>[3]
(택1)</t>
        </is>
      </c>
      <c r="J57" s="177" t="n"/>
      <c r="K57" s="17" t="n"/>
      <c r="L57" s="16" t="n"/>
      <c r="M57" s="216" t="n"/>
      <c r="N57" s="81" t="n"/>
      <c r="O57" s="369" t="n"/>
      <c r="P57" s="370" t="n"/>
    </row>
    <row r="58" ht="15.6" customHeight="1">
      <c r="A58" s="364" t="n"/>
      <c r="B58" s="365" t="n"/>
      <c r="C58" s="10" t="inlineStr">
        <is>
          <t>일반</t>
        </is>
      </c>
      <c r="D58" s="206" t="inlineStr">
        <is>
          <t>중국어</t>
        </is>
      </c>
      <c r="E58" s="221">
        <f>IFERROR(VLOOKUP(D58, 기본학점, 2, FALSE), "")</f>
        <v/>
      </c>
      <c r="F58" s="130" t="n">
        <v>3</v>
      </c>
      <c r="G58" s="55" t="n"/>
      <c r="H58" s="158" t="n"/>
      <c r="I58" s="393" t="n"/>
      <c r="J58" s="222" t="n"/>
      <c r="K58" s="13" t="n"/>
      <c r="L58" s="12" t="n"/>
      <c r="M58" s="215" t="n"/>
      <c r="N58" s="169" t="n"/>
      <c r="O58" s="369" t="n"/>
      <c r="P58" s="370" t="n"/>
    </row>
    <row r="59" ht="15.6" customHeight="1" thickBot="1">
      <c r="A59" s="364" t="n"/>
      <c r="B59" s="382" t="n"/>
      <c r="C59" s="27" t="inlineStr">
        <is>
          <t>일반</t>
        </is>
      </c>
      <c r="D59" s="211" t="inlineStr">
        <is>
          <t>한문</t>
        </is>
      </c>
      <c r="E59" s="171">
        <f>IFERROR(VLOOKUP(D59, 기본학점, 2, FALSE), "")</f>
        <v/>
      </c>
      <c r="F59" s="171" t="n">
        <v>3</v>
      </c>
      <c r="G59" s="54" t="n"/>
      <c r="H59" s="161" t="n"/>
      <c r="I59" s="374" t="n"/>
      <c r="J59" s="38" t="n"/>
      <c r="K59" s="25" t="n"/>
      <c r="L59" s="26" t="n"/>
      <c r="M59" s="207" t="n"/>
      <c r="N59" s="183" t="n"/>
      <c r="O59" s="369" t="n"/>
      <c r="P59" s="370" t="n"/>
    </row>
    <row r="60" ht="15.6" customHeight="1">
      <c r="A60" s="364" t="n"/>
      <c r="B60" s="327" t="inlineStr">
        <is>
          <t>국 어</t>
        </is>
      </c>
      <c r="C60" s="36" t="inlineStr">
        <is>
          <t>융합</t>
        </is>
      </c>
      <c r="D60" s="203" t="inlineStr">
        <is>
          <t>독서 토론과 글쓰기</t>
        </is>
      </c>
      <c r="E60" s="240">
        <f>IFERROR(VLOOKUP(D60, 기본학점, 2, FALSE), "")</f>
        <v/>
      </c>
      <c r="F60" s="176" t="n">
        <v>3</v>
      </c>
      <c r="G60" s="230" t="n"/>
      <c r="H60" s="160" t="n"/>
      <c r="I60" s="9" t="n"/>
      <c r="J60" s="395" t="inlineStr">
        <is>
          <t>12
(택4)</t>
        </is>
      </c>
      <c r="K60" s="9" t="n"/>
      <c r="L60" s="37" t="n"/>
      <c r="M60" s="217" t="n"/>
      <c r="N60" s="235" t="n"/>
      <c r="O60" s="369" t="n"/>
      <c r="P60" s="370" t="n"/>
      <c r="R60" s="6" t="n"/>
      <c r="S60" s="6" t="n"/>
      <c r="T60" s="6" t="n"/>
    </row>
    <row r="61" ht="15.6" customHeight="1">
      <c r="A61" s="364" t="n"/>
      <c r="B61" s="385" t="inlineStr">
        <is>
          <t>수 학</t>
        </is>
      </c>
      <c r="C61" s="19" t="inlineStr">
        <is>
          <t>진로</t>
        </is>
      </c>
      <c r="D61" s="209" t="inlineStr">
        <is>
          <t>인공지능 수학</t>
        </is>
      </c>
      <c r="E61" s="228">
        <f>IFERROR(VLOOKUP(D61, 기본학점, 2, FALSE), "")</f>
        <v/>
      </c>
      <c r="F61" s="173" t="n">
        <v>3</v>
      </c>
      <c r="G61" s="132" t="n"/>
      <c r="H61" s="157" t="n"/>
      <c r="I61" s="17" t="n"/>
      <c r="J61" s="396" t="n"/>
      <c r="K61" s="17" t="n"/>
      <c r="L61" s="18" t="n"/>
      <c r="M61" s="216" t="n"/>
      <c r="N61" s="81" t="n"/>
      <c r="O61" s="369" t="n"/>
      <c r="P61" s="370" t="n"/>
    </row>
    <row r="62" ht="15.6" customHeight="1">
      <c r="A62" s="364" t="n"/>
      <c r="B62" s="382" t="n"/>
      <c r="C62" s="20" t="inlineStr">
        <is>
          <t>융합</t>
        </is>
      </c>
      <c r="D62" s="211" t="inlineStr">
        <is>
          <t>수학과제 탐구</t>
        </is>
      </c>
      <c r="E62" s="171">
        <f>IFERROR(VLOOKUP(D62, 기본학점, 2, FALSE), "")</f>
        <v/>
      </c>
      <c r="F62" s="171" t="n">
        <v>3</v>
      </c>
      <c r="G62" s="133" t="n"/>
      <c r="H62" s="159" t="n"/>
      <c r="I62" s="21" t="n"/>
      <c r="J62" s="396" t="n"/>
      <c r="K62" s="23" t="n"/>
      <c r="L62" s="24" t="n"/>
      <c r="M62" s="207" t="n"/>
      <c r="N62" s="113" t="n"/>
      <c r="O62" s="369" t="n"/>
      <c r="P62" s="370" t="n"/>
    </row>
    <row r="63" ht="15.6" customHeight="1">
      <c r="A63" s="364" t="n"/>
      <c r="B63" s="261" t="inlineStr">
        <is>
          <t>영 어</t>
        </is>
      </c>
      <c r="C63" s="19" t="inlineStr">
        <is>
          <t>진로</t>
        </is>
      </c>
      <c r="D63" s="209" t="inlineStr">
        <is>
          <t xml:space="preserve">심화 영어 </t>
        </is>
      </c>
      <c r="E63" s="241">
        <f>IFERROR(VLOOKUP(D63, 기본학점, 2, FALSE), "")</f>
        <v/>
      </c>
      <c r="F63" s="173" t="n">
        <v>3</v>
      </c>
      <c r="G63" s="132" t="n"/>
      <c r="H63" s="157" t="n"/>
      <c r="I63" s="17" t="n"/>
      <c r="J63" s="396" t="n"/>
      <c r="K63" s="17" t="n"/>
      <c r="L63" s="18" t="n"/>
      <c r="M63" s="216" t="n"/>
      <c r="N63" s="184" t="n"/>
      <c r="O63" s="369" t="n"/>
      <c r="P63" s="370" t="n"/>
    </row>
    <row r="64" ht="15.6" customHeight="1">
      <c r="A64" s="364" t="n"/>
      <c r="B64" s="385" t="inlineStr">
        <is>
          <t>사 회
(역사/도덕 포함)</t>
        </is>
      </c>
      <c r="C64" s="19" t="inlineStr">
        <is>
          <t>진로</t>
        </is>
      </c>
      <c r="D64" s="209" t="inlineStr">
        <is>
          <t>경제</t>
        </is>
      </c>
      <c r="E64" s="228">
        <f>IFERROR(VLOOKUP(D64, 기본학점, 2, FALSE), "")</f>
        <v/>
      </c>
      <c r="F64" s="173" t="n">
        <v>3</v>
      </c>
      <c r="G64" s="132" t="n"/>
      <c r="H64" s="162" t="n"/>
      <c r="I64" s="40" t="n"/>
      <c r="J64" s="396" t="n"/>
      <c r="K64" s="40" t="n"/>
      <c r="L64" s="41" t="n"/>
      <c r="M64" s="216" t="n"/>
      <c r="N64" s="81" t="n"/>
      <c r="O64" s="369" t="n"/>
      <c r="P64" s="370" t="n"/>
    </row>
    <row r="65" ht="15.6" customHeight="1">
      <c r="A65" s="364" t="n"/>
      <c r="B65" s="365" t="n"/>
      <c r="C65" s="10" t="inlineStr">
        <is>
          <t>진로</t>
        </is>
      </c>
      <c r="D65" s="206" t="inlineStr">
        <is>
          <t>국제 관계의 이해</t>
        </is>
      </c>
      <c r="E65" s="221">
        <f>IFERROR(VLOOKUP(D65, 기본학점, 2, FALSE), "")</f>
        <v/>
      </c>
      <c r="F65" s="175" t="n">
        <v>3</v>
      </c>
      <c r="G65" s="55" t="n"/>
      <c r="H65" s="163" t="n"/>
      <c r="I65" s="43" t="n"/>
      <c r="J65" s="396" t="n"/>
      <c r="K65" s="43" t="n"/>
      <c r="L65" s="44" t="n"/>
      <c r="M65" s="215" t="n"/>
      <c r="N65" s="182" t="n"/>
      <c r="O65" s="369" t="n"/>
      <c r="P65" s="370" t="n"/>
    </row>
    <row r="66" ht="15.6" customHeight="1">
      <c r="A66" s="364" t="n"/>
      <c r="B66" s="365" t="n"/>
      <c r="C66" s="10" t="inlineStr">
        <is>
          <t>진로</t>
        </is>
      </c>
      <c r="D66" s="206" t="inlineStr">
        <is>
          <t>인문학과 윤리</t>
        </is>
      </c>
      <c r="E66" s="221">
        <f>IFERROR(VLOOKUP(D66, 기본학점, 2, FALSE), "")</f>
        <v/>
      </c>
      <c r="F66" s="175" t="n">
        <v>3</v>
      </c>
      <c r="G66" s="55" t="n"/>
      <c r="H66" s="163" t="n"/>
      <c r="I66" s="43" t="n"/>
      <c r="J66" s="396" t="n"/>
      <c r="K66" s="43" t="n"/>
      <c r="L66" s="44" t="n"/>
      <c r="M66" s="215" t="n"/>
      <c r="N66" s="182" t="n"/>
      <c r="O66" s="369" t="n"/>
      <c r="P66" s="370" t="n"/>
    </row>
    <row r="67" ht="15.6" customHeight="1">
      <c r="A67" s="364" t="n"/>
      <c r="B67" s="382" t="n"/>
      <c r="C67" s="20" t="inlineStr">
        <is>
          <t>진로</t>
        </is>
      </c>
      <c r="D67" s="211" t="inlineStr">
        <is>
          <t>한국지리 탐구</t>
        </is>
      </c>
      <c r="E67" s="171">
        <f>IFERROR(VLOOKUP(D67, 기본학점, 2, FALSE), "")</f>
        <v/>
      </c>
      <c r="F67" s="171" t="n">
        <v>3</v>
      </c>
      <c r="G67" s="149" t="n"/>
      <c r="H67" s="166" t="n"/>
      <c r="I67" s="56" t="n"/>
      <c r="J67" s="396" t="n"/>
      <c r="K67" s="57" t="n"/>
      <c r="L67" s="58" t="n"/>
      <c r="M67" s="208" t="n"/>
      <c r="N67" s="113" t="n"/>
      <c r="O67" s="369" t="n"/>
      <c r="P67" s="370" t="n"/>
    </row>
    <row r="68" ht="15.6" customHeight="1">
      <c r="A68" s="364" t="n"/>
      <c r="B68" s="385" t="inlineStr">
        <is>
          <t>과 학</t>
        </is>
      </c>
      <c r="C68" s="19" t="inlineStr">
        <is>
          <t>진로</t>
        </is>
      </c>
      <c r="D68" s="209" t="inlineStr">
        <is>
          <t xml:space="preserve">역학과 에너지 </t>
        </is>
      </c>
      <c r="E68" s="228">
        <f>IFERROR(VLOOKUP(D68, 기본학점, 2, FALSE), "")</f>
        <v/>
      </c>
      <c r="F68" s="173" t="n">
        <v>3</v>
      </c>
      <c r="G68" s="132" t="n"/>
      <c r="H68" s="162" t="n"/>
      <c r="I68" s="17" t="n"/>
      <c r="J68" s="396" t="n"/>
      <c r="K68" s="15" t="n"/>
      <c r="L68" s="39" t="n"/>
      <c r="M68" s="216" t="n"/>
      <c r="N68" s="184" t="n"/>
      <c r="O68" s="369" t="n"/>
      <c r="P68" s="370" t="n"/>
    </row>
    <row r="69" ht="15.6" customHeight="1">
      <c r="A69" s="364" t="n"/>
      <c r="B69" s="365" t="n"/>
      <c r="C69" s="10" t="inlineStr">
        <is>
          <t>진로</t>
        </is>
      </c>
      <c r="D69" s="206" t="inlineStr">
        <is>
          <t xml:space="preserve">물질과 에너지 </t>
        </is>
      </c>
      <c r="E69" s="221">
        <f>IFERROR(VLOOKUP(D69, 기본학점, 2, FALSE), "")</f>
        <v/>
      </c>
      <c r="F69" s="175" t="n">
        <v>3</v>
      </c>
      <c r="G69" s="55" t="n"/>
      <c r="H69" s="163" t="n"/>
      <c r="I69" s="13" t="n"/>
      <c r="J69" s="396" t="n"/>
      <c r="K69" s="11" t="n"/>
      <c r="L69" s="42" t="n"/>
      <c r="M69" s="215" t="n"/>
      <c r="N69" s="182" t="n"/>
      <c r="O69" s="369" t="n"/>
      <c r="P69" s="370" t="n"/>
    </row>
    <row r="70" ht="15.6" customHeight="1">
      <c r="A70" s="364" t="n"/>
      <c r="B70" s="365" t="n"/>
      <c r="C70" s="10" t="inlineStr">
        <is>
          <t>진로</t>
        </is>
      </c>
      <c r="D70" s="206" t="inlineStr">
        <is>
          <t>생물의 유전</t>
        </is>
      </c>
      <c r="E70" s="221">
        <f>IFERROR(VLOOKUP(D70, 기본학점, 2, FALSE), "")</f>
        <v/>
      </c>
      <c r="F70" s="175" t="n">
        <v>3</v>
      </c>
      <c r="G70" s="150" t="n"/>
      <c r="H70" s="158" t="n"/>
      <c r="I70" s="34" t="n"/>
      <c r="J70" s="396" t="n"/>
      <c r="K70" s="48" t="n"/>
      <c r="L70" s="12" t="n"/>
      <c r="M70" s="215" t="n"/>
      <c r="N70" s="182" t="n"/>
      <c r="O70" s="369" t="n"/>
      <c r="P70" s="370" t="n"/>
    </row>
    <row r="71" ht="15.6" customHeight="1">
      <c r="A71" s="364" t="n"/>
      <c r="B71" s="382" t="n"/>
      <c r="C71" s="27" t="inlineStr">
        <is>
          <t>진로</t>
        </is>
      </c>
      <c r="D71" s="211" t="inlineStr">
        <is>
          <t xml:space="preserve">지구시스템과학 </t>
        </is>
      </c>
      <c r="E71" s="171">
        <f>IFERROR(VLOOKUP(D71, 기본학점, 2, FALSE), "")</f>
        <v/>
      </c>
      <c r="F71" s="171" t="n">
        <v>3</v>
      </c>
      <c r="G71" s="151" t="n"/>
      <c r="H71" s="159" t="n"/>
      <c r="I71" s="49" t="n"/>
      <c r="J71" s="397" t="n"/>
      <c r="K71" s="49" t="n"/>
      <c r="L71" s="22" t="n"/>
      <c r="M71" s="207" t="n"/>
      <c r="N71" s="113" t="n"/>
      <c r="O71" s="369" t="n"/>
      <c r="P71" s="370" t="n"/>
    </row>
    <row r="72" ht="15.6" customHeight="1">
      <c r="A72" s="364" t="n"/>
      <c r="B72" s="385" t="inlineStr">
        <is>
          <t>제2외국어/한문</t>
        </is>
      </c>
      <c r="C72" s="19" t="inlineStr">
        <is>
          <t>일반</t>
        </is>
      </c>
      <c r="D72" s="209" t="inlineStr">
        <is>
          <t xml:space="preserve">일본어 </t>
        </is>
      </c>
      <c r="E72" s="228">
        <f>IFERROR(VLOOKUP(D72, 기본학점, 2, FALSE), "")</f>
        <v/>
      </c>
      <c r="F72" s="170" t="n">
        <v>3</v>
      </c>
      <c r="G72" s="132" t="n"/>
      <c r="H72" s="157" t="n"/>
      <c r="I72" s="17" t="n"/>
      <c r="J72" s="325" t="inlineStr">
        <is>
          <t>3
(택1)</t>
        </is>
      </c>
      <c r="K72" s="17" t="n"/>
      <c r="L72" s="16" t="n"/>
      <c r="M72" s="216" t="n"/>
      <c r="N72" s="81" t="n"/>
      <c r="O72" s="369" t="n"/>
      <c r="P72" s="370" t="n"/>
    </row>
    <row r="73" ht="15.6" customHeight="1">
      <c r="A73" s="364" t="n"/>
      <c r="B73" s="365" t="n"/>
      <c r="C73" s="10" t="inlineStr">
        <is>
          <t>일반</t>
        </is>
      </c>
      <c r="D73" s="206" t="inlineStr">
        <is>
          <t>중국어</t>
        </is>
      </c>
      <c r="E73" s="221">
        <f>IFERROR(VLOOKUP(D73, 기본학점, 2, FALSE), "")</f>
        <v/>
      </c>
      <c r="F73" s="221" t="n">
        <v>3</v>
      </c>
      <c r="G73" s="55" t="n"/>
      <c r="H73" s="158" t="n"/>
      <c r="I73" s="13" t="n"/>
      <c r="J73" s="396" t="n"/>
      <c r="K73" s="13" t="n"/>
      <c r="L73" s="12" t="n"/>
      <c r="M73" s="215" t="n"/>
      <c r="N73" s="182" t="n"/>
      <c r="O73" s="369" t="n"/>
      <c r="P73" s="370" t="n"/>
    </row>
    <row r="74" ht="15.6" customHeight="1" thickBot="1">
      <c r="A74" s="364" t="n"/>
      <c r="B74" s="382" t="n"/>
      <c r="C74" s="20" t="inlineStr">
        <is>
          <t>일반</t>
        </is>
      </c>
      <c r="D74" s="211" t="inlineStr">
        <is>
          <t>한문</t>
        </is>
      </c>
      <c r="E74" s="171">
        <f>IFERROR(VLOOKUP(D74, 기본학점, 2, FALSE), "")</f>
        <v/>
      </c>
      <c r="F74" s="171" t="n">
        <v>3</v>
      </c>
      <c r="G74" s="54" t="n"/>
      <c r="H74" s="161" t="n"/>
      <c r="I74" s="8" t="n"/>
      <c r="J74" s="375" t="n"/>
      <c r="K74" s="25" t="n"/>
      <c r="L74" s="26" t="n"/>
      <c r="M74" s="207" t="n"/>
      <c r="N74" s="183" t="n"/>
      <c r="O74" s="369" t="n"/>
      <c r="P74" s="370" t="n"/>
    </row>
    <row r="75" ht="15.6" customHeight="1">
      <c r="A75" s="264" t="inlineStr">
        <is>
          <t xml:space="preserve">3
학년선택 </t>
        </is>
      </c>
      <c r="B75" s="327" t="inlineStr">
        <is>
          <t>국 어</t>
        </is>
      </c>
      <c r="C75" s="36" t="inlineStr">
        <is>
          <t>융합</t>
        </is>
      </c>
      <c r="D75" s="203" t="inlineStr">
        <is>
          <t>언어생활 탐구</t>
        </is>
      </c>
      <c r="E75" s="176">
        <f>IFERROR(VLOOKUP(D75, 기본학점, 2, FALSE), "")</f>
        <v/>
      </c>
      <c r="F75" s="236" t="n">
        <v>3</v>
      </c>
      <c r="G75" s="134" t="n"/>
      <c r="H75" s="160" t="n"/>
      <c r="I75" s="9" t="n"/>
      <c r="J75" s="37" t="n"/>
      <c r="K75" s="398" t="inlineStr">
        <is>
          <t>15
(택5)</t>
        </is>
      </c>
      <c r="L75" s="237" t="n"/>
      <c r="M75" s="217" t="n"/>
      <c r="N75" s="187" t="n"/>
      <c r="O75" s="255" t="n">
        <v>30</v>
      </c>
      <c r="P75" s="257" t="n"/>
    </row>
    <row r="76" ht="15.6" customHeight="1">
      <c r="A76" s="364" t="n"/>
      <c r="B76" s="261" t="inlineStr">
        <is>
          <t>수 학</t>
        </is>
      </c>
      <c r="C76" s="19" t="inlineStr">
        <is>
          <t>진로</t>
        </is>
      </c>
      <c r="D76" s="209" t="inlineStr">
        <is>
          <t>미적분Ⅱ</t>
        </is>
      </c>
      <c r="E76" s="228">
        <f>IFERROR(VLOOKUP(D76, 기본학점, 2, FALSE), "")</f>
        <v/>
      </c>
      <c r="F76" s="170" t="n">
        <v>3</v>
      </c>
      <c r="G76" s="132" t="n"/>
      <c r="H76" s="157" t="n"/>
      <c r="I76" s="17" t="n"/>
      <c r="J76" s="18" t="n"/>
      <c r="K76" s="393" t="n"/>
      <c r="L76" s="16" t="n"/>
      <c r="M76" s="216" t="n"/>
      <c r="N76" s="184" t="n"/>
      <c r="O76" s="369" t="n"/>
      <c r="P76" s="370" t="n"/>
    </row>
    <row r="77" ht="15.6" customHeight="1">
      <c r="A77" s="364" t="n"/>
      <c r="B77" s="261" t="inlineStr">
        <is>
          <t>영 어</t>
        </is>
      </c>
      <c r="C77" s="19" t="inlineStr">
        <is>
          <t>융합</t>
        </is>
      </c>
      <c r="D77" s="209" t="inlineStr">
        <is>
          <t xml:space="preserve">미디어 영어 </t>
        </is>
      </c>
      <c r="E77" s="228">
        <f>IFERROR(VLOOKUP(D77, 기본학점, 2, FALSE), "")</f>
        <v/>
      </c>
      <c r="F77" s="170" t="n">
        <v>3</v>
      </c>
      <c r="G77" s="132" t="n"/>
      <c r="H77" s="157" t="n"/>
      <c r="I77" s="17" t="n"/>
      <c r="J77" s="18" t="n"/>
      <c r="K77" s="393" t="n"/>
      <c r="L77" s="16" t="n"/>
      <c r="M77" s="216" t="n"/>
      <c r="N77" s="184" t="n"/>
      <c r="O77" s="369" t="n"/>
      <c r="P77" s="370" t="n"/>
    </row>
    <row r="78" ht="15.6" customHeight="1">
      <c r="A78" s="364" t="n"/>
      <c r="B78" s="385" t="inlineStr">
        <is>
          <t>사 회
(역사/도덕 포함)</t>
        </is>
      </c>
      <c r="C78" s="19" t="inlineStr">
        <is>
          <t>진로</t>
        </is>
      </c>
      <c r="D78" s="209" t="inlineStr">
        <is>
          <t xml:space="preserve">윤리와 사상 </t>
        </is>
      </c>
      <c r="E78" s="228">
        <f>IFERROR(VLOOKUP(D78, 기본학점, 2, FALSE), "")</f>
        <v/>
      </c>
      <c r="F78" s="173" t="n">
        <v>3</v>
      </c>
      <c r="G78" s="132" t="n"/>
      <c r="H78" s="162" t="n"/>
      <c r="I78" s="40" t="n"/>
      <c r="J78" s="41" t="n"/>
      <c r="K78" s="393" t="n"/>
      <c r="L78" s="157" t="n"/>
      <c r="M78" s="216" t="n"/>
      <c r="N78" s="184" t="n"/>
      <c r="O78" s="369" t="n"/>
      <c r="P78" s="370" t="n"/>
    </row>
    <row r="79" ht="15.6" customHeight="1">
      <c r="A79" s="364" t="n"/>
      <c r="B79" s="365" t="n"/>
      <c r="C79" s="10" t="inlineStr">
        <is>
          <t>진로</t>
        </is>
      </c>
      <c r="D79" s="206" t="inlineStr">
        <is>
          <t xml:space="preserve">법과 사회 </t>
        </is>
      </c>
      <c r="E79" s="221">
        <f>IFERROR(VLOOKUP(D79, 기본학점, 2, FALSE), "")</f>
        <v/>
      </c>
      <c r="F79" s="175" t="n">
        <v>3</v>
      </c>
      <c r="G79" s="55" t="n"/>
      <c r="H79" s="163" t="n"/>
      <c r="I79" s="43" t="n"/>
      <c r="J79" s="44" t="n"/>
      <c r="K79" s="393" t="n"/>
      <c r="L79" s="158" t="n"/>
      <c r="M79" s="215" t="n"/>
      <c r="N79" s="182" t="n"/>
      <c r="O79" s="369" t="n"/>
      <c r="P79" s="370" t="n"/>
    </row>
    <row r="80" ht="15.6" customHeight="1">
      <c r="A80" s="364" t="n"/>
      <c r="B80" s="365" t="n"/>
      <c r="C80" s="10" t="inlineStr">
        <is>
          <t>진로</t>
        </is>
      </c>
      <c r="D80" s="206" t="inlineStr">
        <is>
          <t>동아시아 역사 기행</t>
        </is>
      </c>
      <c r="E80" s="221">
        <f>IFERROR(VLOOKUP(D80, 기본학점, 2, FALSE), "")</f>
        <v/>
      </c>
      <c r="F80" s="175" t="n">
        <v>3</v>
      </c>
      <c r="G80" s="55" t="n"/>
      <c r="H80" s="163" t="n"/>
      <c r="I80" s="43" t="n"/>
      <c r="J80" s="44" t="n"/>
      <c r="K80" s="393" t="n"/>
      <c r="L80" s="158" t="n"/>
      <c r="M80" s="215" t="n"/>
      <c r="N80" s="182" t="n"/>
      <c r="O80" s="369" t="n"/>
      <c r="P80" s="370" t="n"/>
    </row>
    <row r="81" ht="15.6" customHeight="1">
      <c r="A81" s="364" t="n"/>
      <c r="B81" s="382" t="n"/>
      <c r="C81" s="20" t="inlineStr">
        <is>
          <t>진로</t>
        </is>
      </c>
      <c r="D81" s="211" t="inlineStr">
        <is>
          <t xml:space="preserve">도시의 미래 탐구 </t>
        </is>
      </c>
      <c r="E81" s="171">
        <f>IFERROR(VLOOKUP(D81, 기본학점, 2, FALSE), "")</f>
        <v/>
      </c>
      <c r="F81" s="171" t="n">
        <v>3</v>
      </c>
      <c r="G81" s="133" t="n"/>
      <c r="H81" s="164" t="n"/>
      <c r="I81" s="59" t="n"/>
      <c r="J81" s="60" t="n"/>
      <c r="K81" s="393" t="n"/>
      <c r="L81" s="60" t="n"/>
      <c r="M81" s="207" t="n"/>
      <c r="N81" s="113" t="n"/>
      <c r="O81" s="369" t="n"/>
      <c r="P81" s="370" t="n"/>
    </row>
    <row r="82" ht="15.6" customHeight="1">
      <c r="A82" s="364" t="n"/>
      <c r="B82" s="385" t="inlineStr">
        <is>
          <t>과 학</t>
        </is>
      </c>
      <c r="C82" s="19" t="inlineStr">
        <is>
          <t>진로</t>
        </is>
      </c>
      <c r="D82" s="209" t="inlineStr">
        <is>
          <t>전자기와 양자</t>
        </is>
      </c>
      <c r="E82" s="228">
        <f>IFERROR(VLOOKUP(D82, 기본학점, 2, FALSE), "")</f>
        <v/>
      </c>
      <c r="F82" s="173" t="n">
        <v>3</v>
      </c>
      <c r="G82" s="132" t="n"/>
      <c r="H82" s="162" t="n"/>
      <c r="I82" s="32" t="n"/>
      <c r="J82" s="33" t="n"/>
      <c r="K82" s="393" t="n"/>
      <c r="L82" s="39" t="n"/>
      <c r="M82" s="216" t="n"/>
      <c r="N82" s="184" t="n"/>
      <c r="O82" s="369" t="n"/>
      <c r="P82" s="370" t="n"/>
    </row>
    <row r="83" ht="15.6" customHeight="1">
      <c r="A83" s="364" t="n"/>
      <c r="B83" s="365" t="n"/>
      <c r="C83" s="10" t="inlineStr">
        <is>
          <t>진로</t>
        </is>
      </c>
      <c r="D83" s="206" t="inlineStr">
        <is>
          <t>화학 반응의 세계</t>
        </is>
      </c>
      <c r="E83" s="221">
        <f>IFERROR(VLOOKUP(D83, 기본학점, 2, FALSE), "")</f>
        <v/>
      </c>
      <c r="F83" s="175" t="n">
        <v>3</v>
      </c>
      <c r="G83" s="55" t="n"/>
      <c r="H83" s="163" t="n"/>
      <c r="I83" s="34" t="n"/>
      <c r="J83" s="35" t="n"/>
      <c r="K83" s="393" t="n"/>
      <c r="L83" s="42" t="n"/>
      <c r="M83" s="215" t="n"/>
      <c r="N83" s="182" t="n"/>
      <c r="O83" s="369" t="n"/>
      <c r="P83" s="370" t="n"/>
    </row>
    <row r="84" ht="15.6" customHeight="1">
      <c r="A84" s="364" t="n"/>
      <c r="B84" s="365" t="n"/>
      <c r="C84" s="10" t="inlineStr">
        <is>
          <t>진로</t>
        </is>
      </c>
      <c r="D84" s="206" t="inlineStr">
        <is>
          <t xml:space="preserve">세포와 물질대사 </t>
        </is>
      </c>
      <c r="E84" s="221">
        <f>IFERROR(VLOOKUP(D84, 기본학점, 2, FALSE), "")</f>
        <v/>
      </c>
      <c r="F84" s="175" t="n">
        <v>3</v>
      </c>
      <c r="G84" s="150" t="n"/>
      <c r="H84" s="158" t="n"/>
      <c r="I84" s="13" t="n"/>
      <c r="J84" s="14" t="n"/>
      <c r="K84" s="393" t="n"/>
      <c r="L84" s="12" t="n"/>
      <c r="M84" s="215" t="n"/>
      <c r="N84" s="182" t="n"/>
      <c r="O84" s="369" t="n"/>
      <c r="P84" s="370" t="n"/>
    </row>
    <row r="85" ht="15.6" customHeight="1">
      <c r="A85" s="364" t="n"/>
      <c r="B85" s="382" t="n"/>
      <c r="C85" s="27" t="inlineStr">
        <is>
          <t>진로</t>
        </is>
      </c>
      <c r="D85" s="211" t="inlineStr">
        <is>
          <t>행성우주과학</t>
        </is>
      </c>
      <c r="E85" s="171">
        <f>IFERROR(VLOOKUP(D85, 기본학점, 2, FALSE), "")</f>
        <v/>
      </c>
      <c r="F85" s="131" t="n">
        <v>3</v>
      </c>
      <c r="G85" s="151" t="n"/>
      <c r="H85" s="159" t="n"/>
      <c r="I85" s="23" t="n"/>
      <c r="J85" s="24" t="n"/>
      <c r="K85" s="393" t="n"/>
      <c r="L85" s="24" t="n"/>
      <c r="M85" s="207" t="n"/>
      <c r="N85" s="183" t="n"/>
      <c r="O85" s="369" t="n"/>
      <c r="P85" s="370" t="n"/>
    </row>
    <row r="86" ht="15.6" customHeight="1">
      <c r="A86" s="364" t="n"/>
      <c r="B86" s="261" t="inlineStr">
        <is>
          <t>기술∙가정/정보</t>
        </is>
      </c>
      <c r="C86" s="19" t="inlineStr">
        <is>
          <t>진로</t>
        </is>
      </c>
      <c r="D86" s="209" t="inlineStr">
        <is>
          <t>프로그래밍</t>
        </is>
      </c>
      <c r="E86" s="228" t="n">
        <v>4</v>
      </c>
      <c r="F86" s="173" t="n">
        <v>3</v>
      </c>
      <c r="G86" s="152" t="n"/>
      <c r="H86" s="157" t="n"/>
      <c r="I86" s="17" t="n"/>
      <c r="J86" s="18" t="n"/>
      <c r="K86" s="393" t="n"/>
      <c r="L86" s="16" t="n"/>
      <c r="M86" s="216" t="inlineStr">
        <is>
          <t>전문 교과</t>
        </is>
      </c>
      <c r="N86" s="81" t="n"/>
      <c r="O86" s="369" t="n"/>
      <c r="P86" s="370" t="n"/>
    </row>
    <row r="87" ht="15.6" customHeight="1">
      <c r="A87" s="364" t="n"/>
      <c r="B87" s="385" t="inlineStr">
        <is>
          <t>제2외국어/한문</t>
        </is>
      </c>
      <c r="C87" s="19" t="inlineStr">
        <is>
          <t>진로</t>
        </is>
      </c>
      <c r="D87" s="209" t="inlineStr">
        <is>
          <t>일본어 회화</t>
        </is>
      </c>
      <c r="E87" s="228">
        <f>IFERROR(VLOOKUP(D87, 기본학점, 2, FALSE), "")</f>
        <v/>
      </c>
      <c r="F87" s="170" t="n">
        <v>3</v>
      </c>
      <c r="G87" s="132" t="n"/>
      <c r="H87" s="157" t="n"/>
      <c r="I87" s="17" t="n"/>
      <c r="J87" s="18" t="n"/>
      <c r="K87" s="393" t="n"/>
      <c r="L87" s="16" t="n"/>
      <c r="M87" s="216" t="n"/>
      <c r="N87" s="81" t="n"/>
      <c r="O87" s="369" t="n"/>
      <c r="P87" s="370" t="n"/>
    </row>
    <row r="88" ht="15.6" customHeight="1">
      <c r="A88" s="364" t="n"/>
      <c r="B88" s="365" t="n"/>
      <c r="C88" s="10" t="inlineStr">
        <is>
          <t>진로</t>
        </is>
      </c>
      <c r="D88" s="206" t="inlineStr">
        <is>
          <t xml:space="preserve">중국어 회화 </t>
        </is>
      </c>
      <c r="E88" s="221">
        <f>IFERROR(VLOOKUP(D88, 기본학점, 2, FALSE), "")</f>
        <v/>
      </c>
      <c r="F88" s="175" t="n">
        <v>3</v>
      </c>
      <c r="G88" s="55" t="n"/>
      <c r="H88" s="158" t="n"/>
      <c r="I88" s="13" t="n"/>
      <c r="J88" s="14" t="n"/>
      <c r="K88" s="393" t="n"/>
      <c r="L88" s="12" t="n"/>
      <c r="M88" s="215" t="n"/>
      <c r="N88" s="182" t="n"/>
      <c r="O88" s="369" t="n"/>
      <c r="P88" s="370" t="n"/>
    </row>
    <row r="89" ht="15.6" customHeight="1">
      <c r="A89" s="364" t="n"/>
      <c r="B89" s="382" t="n"/>
      <c r="C89" s="27" t="inlineStr">
        <is>
          <t>진로</t>
        </is>
      </c>
      <c r="D89" s="211" t="inlineStr">
        <is>
          <t>한문 고전 읽기</t>
        </is>
      </c>
      <c r="E89" s="171">
        <f>IFERROR(VLOOKUP(D89, 기본학점, 2, FALSE), "")</f>
        <v/>
      </c>
      <c r="F89" s="131" t="n">
        <v>3</v>
      </c>
      <c r="G89" s="133" t="n"/>
      <c r="H89" s="159" t="n"/>
      <c r="I89" s="23" t="n"/>
      <c r="J89" s="24" t="n"/>
      <c r="K89" s="393" t="n"/>
      <c r="L89" s="24" t="n"/>
      <c r="M89" s="207" t="n"/>
      <c r="N89" s="113" t="n"/>
      <c r="O89" s="369" t="n"/>
      <c r="P89" s="370" t="n"/>
    </row>
    <row r="90" ht="15.6" customHeight="1">
      <c r="A90" s="364" t="n"/>
      <c r="B90" s="391" t="inlineStr">
        <is>
          <t>교 양</t>
        </is>
      </c>
      <c r="C90" s="19" t="inlineStr">
        <is>
          <t>일반</t>
        </is>
      </c>
      <c r="D90" s="209" t="inlineStr">
        <is>
          <t>생태와 환경</t>
        </is>
      </c>
      <c r="E90" s="228">
        <f>IFERROR(VLOOKUP(D90, 기본학점, 2, FALSE), "")</f>
        <v/>
      </c>
      <c r="F90" s="170" t="n">
        <v>3</v>
      </c>
      <c r="G90" s="132" t="n"/>
      <c r="H90" s="157" t="n"/>
      <c r="I90" s="17" t="n"/>
      <c r="J90" s="18" t="n"/>
      <c r="K90" s="393" t="n"/>
      <c r="L90" s="16" t="n"/>
      <c r="M90" s="216" t="n"/>
      <c r="N90" s="184" t="n"/>
      <c r="O90" s="369" t="n"/>
      <c r="P90" s="370" t="n"/>
    </row>
    <row r="91" ht="15.6" customHeight="1">
      <c r="A91" s="364" t="n"/>
      <c r="B91" s="365" t="n"/>
      <c r="C91" s="10" t="inlineStr">
        <is>
          <t>진로</t>
        </is>
      </c>
      <c r="D91" s="206" t="inlineStr">
        <is>
          <t xml:space="preserve">교육의 이해 </t>
        </is>
      </c>
      <c r="E91" s="221">
        <f>IFERROR(VLOOKUP(D91, 기본학점, 2, FALSE), "")</f>
        <v/>
      </c>
      <c r="F91" s="196" t="n">
        <v>3</v>
      </c>
      <c r="G91" s="55" t="n"/>
      <c r="H91" s="158" t="n"/>
      <c r="I91" s="13" t="n"/>
      <c r="J91" s="14" t="n"/>
      <c r="K91" s="393" t="n"/>
      <c r="L91" s="12" t="n"/>
      <c r="M91" s="215" t="n"/>
      <c r="N91" s="182" t="n"/>
      <c r="O91" s="369" t="n"/>
      <c r="P91" s="370" t="n"/>
    </row>
    <row r="92" ht="15.6" customHeight="1">
      <c r="A92" s="364" t="n"/>
      <c r="B92" s="365" t="n"/>
      <c r="C92" s="10" t="inlineStr">
        <is>
          <t>진로</t>
        </is>
      </c>
      <c r="D92" s="206" t="inlineStr">
        <is>
          <t>보건</t>
        </is>
      </c>
      <c r="E92" s="221">
        <f>IFERROR(VLOOKUP(D92, 기본학점, 2, FALSE), "")</f>
        <v/>
      </c>
      <c r="F92" s="196" t="n">
        <v>3</v>
      </c>
      <c r="G92" s="55" t="n"/>
      <c r="H92" s="158" t="n"/>
      <c r="I92" s="13" t="n"/>
      <c r="J92" s="14" t="n"/>
      <c r="K92" s="393" t="n"/>
      <c r="L92" s="12" t="n"/>
      <c r="M92" s="215" t="n"/>
      <c r="N92" s="182" t="n"/>
      <c r="O92" s="369" t="n"/>
      <c r="P92" s="370" t="n"/>
    </row>
    <row r="93" ht="15.6" customHeight="1" thickBot="1">
      <c r="A93" s="364" t="n"/>
      <c r="B93" s="372" t="n"/>
      <c r="C93" s="51" t="inlineStr">
        <is>
          <t>진로</t>
        </is>
      </c>
      <c r="D93" s="213" t="inlineStr">
        <is>
          <t>인간과 심리</t>
        </is>
      </c>
      <c r="E93" s="198">
        <f>IFERROR(VLOOKUP(D93, 기본학점, 2, FALSE), "")</f>
        <v/>
      </c>
      <c r="F93" s="140" t="n">
        <v>3</v>
      </c>
      <c r="G93" s="139" t="n"/>
      <c r="H93" s="165" t="n"/>
      <c r="I93" s="53" t="n"/>
      <c r="J93" s="52" t="n"/>
      <c r="K93" s="374" t="n"/>
      <c r="L93" s="61" t="n"/>
      <c r="M93" s="214" t="n"/>
      <c r="N93" s="183" t="n"/>
      <c r="O93" s="369" t="n"/>
      <c r="P93" s="370" t="n"/>
    </row>
    <row r="94" ht="15.6" customHeight="1">
      <c r="A94" s="364" t="n"/>
      <c r="B94" s="327" t="inlineStr">
        <is>
          <t>국 어</t>
        </is>
      </c>
      <c r="C94" s="36" t="inlineStr">
        <is>
          <t>진로</t>
        </is>
      </c>
      <c r="D94" s="203" t="inlineStr">
        <is>
          <t>문학과 영상</t>
        </is>
      </c>
      <c r="E94" s="240">
        <f>IFERROR(VLOOKUP(D94, 기본학점, 2, FALSE), "")</f>
        <v/>
      </c>
      <c r="F94" s="176" t="n">
        <v>3</v>
      </c>
      <c r="G94" s="134" t="n"/>
      <c r="H94" s="160" t="n"/>
      <c r="I94" s="62" t="n"/>
      <c r="J94" s="337" t="n"/>
      <c r="K94" s="344" t="n"/>
      <c r="L94" s="399" t="inlineStr">
        <is>
          <t>15
(택5)</t>
        </is>
      </c>
      <c r="M94" s="341" t="n"/>
      <c r="N94" s="187" t="n"/>
      <c r="O94" s="369" t="n"/>
      <c r="P94" s="370" t="n"/>
    </row>
    <row r="95" ht="15.6" customHeight="1">
      <c r="A95" s="364" t="n"/>
      <c r="B95" s="261" t="inlineStr">
        <is>
          <t>수 학</t>
        </is>
      </c>
      <c r="C95" s="19" t="inlineStr">
        <is>
          <t>융합</t>
        </is>
      </c>
      <c r="D95" s="209" t="inlineStr">
        <is>
          <t>실용 통계</t>
        </is>
      </c>
      <c r="E95" s="241">
        <f>IFERROR(VLOOKUP(D95, 기본학점, 2, FALSE), "")</f>
        <v/>
      </c>
      <c r="F95" s="170" t="n">
        <v>3</v>
      </c>
      <c r="G95" s="132" t="n"/>
      <c r="H95" s="157" t="n"/>
      <c r="I95" s="63" t="n"/>
      <c r="J95" s="338" t="n"/>
      <c r="K95" s="346" t="n"/>
      <c r="L95" s="400" t="n"/>
      <c r="M95" s="342" t="n"/>
      <c r="N95" s="184" t="n"/>
      <c r="O95" s="369" t="n"/>
      <c r="P95" s="370" t="n"/>
    </row>
    <row r="96" ht="15.6" customHeight="1">
      <c r="A96" s="364" t="n"/>
      <c r="B96" s="261" t="inlineStr">
        <is>
          <t>영 어</t>
        </is>
      </c>
      <c r="C96" s="19" t="inlineStr">
        <is>
          <t>융합</t>
        </is>
      </c>
      <c r="D96" s="209" t="inlineStr">
        <is>
          <t>세계 문화와 영어</t>
        </is>
      </c>
      <c r="E96" s="241">
        <f>IFERROR(VLOOKUP(D96, 기본학점, 2, FALSE), "")</f>
        <v/>
      </c>
      <c r="F96" s="170" t="n">
        <v>3</v>
      </c>
      <c r="G96" s="132" t="n"/>
      <c r="H96" s="157" t="n"/>
      <c r="I96" s="15" t="n"/>
      <c r="J96" s="67" t="n"/>
      <c r="K96" s="346" t="n"/>
      <c r="L96" s="400" t="n"/>
      <c r="M96" s="342" t="n"/>
      <c r="N96" s="81" t="n"/>
      <c r="O96" s="369" t="n"/>
      <c r="P96" s="370" t="n"/>
    </row>
    <row r="97" ht="15.6" customHeight="1">
      <c r="A97" s="364" t="n"/>
      <c r="B97" s="385" t="inlineStr">
        <is>
          <t>사 회
(역사/도덕 포함)</t>
        </is>
      </c>
      <c r="C97" s="19" t="inlineStr">
        <is>
          <t>융합</t>
        </is>
      </c>
      <c r="D97" s="209" t="inlineStr">
        <is>
          <t>사회문제 탐구</t>
        </is>
      </c>
      <c r="E97" s="228">
        <f>IFERROR(VLOOKUP(D97, 기본학점, 2, FALSE), "")</f>
        <v/>
      </c>
      <c r="F97" s="173" t="n">
        <v>3</v>
      </c>
      <c r="G97" s="132" t="n"/>
      <c r="H97" s="162" t="n"/>
      <c r="I97" s="40" t="n"/>
      <c r="J97" s="232" t="n"/>
      <c r="K97" s="348" t="n"/>
      <c r="L97" s="400" t="n"/>
      <c r="M97" s="342" t="n"/>
      <c r="N97" s="184" t="n"/>
      <c r="O97" s="369" t="n"/>
      <c r="P97" s="370" t="n"/>
    </row>
    <row r="98" ht="15.6" customHeight="1">
      <c r="A98" s="364" t="n"/>
      <c r="B98" s="365" t="n"/>
      <c r="C98" s="10" t="inlineStr">
        <is>
          <t>융합</t>
        </is>
      </c>
      <c r="D98" s="206" t="inlineStr">
        <is>
          <t>윤리문제 탐구</t>
        </is>
      </c>
      <c r="E98" s="221">
        <f>IFERROR(VLOOKUP(D98, 기본학점, 2, FALSE), "")</f>
        <v/>
      </c>
      <c r="F98" s="175" t="n">
        <v>3</v>
      </c>
      <c r="G98" s="55" t="n"/>
      <c r="H98" s="163" t="n"/>
      <c r="I98" s="43" t="n"/>
      <c r="J98" s="339" t="n"/>
      <c r="K98" s="349" t="n"/>
      <c r="L98" s="400" t="n"/>
      <c r="M98" s="343" t="n"/>
      <c r="N98" s="182" t="n"/>
      <c r="O98" s="369" t="n"/>
      <c r="P98" s="370" t="n"/>
    </row>
    <row r="99" ht="15.6" customHeight="1">
      <c r="A99" s="364" t="n"/>
      <c r="B99" s="365" t="n"/>
      <c r="C99" s="10" t="inlineStr">
        <is>
          <t>융합</t>
        </is>
      </c>
      <c r="D99" s="206" t="inlineStr">
        <is>
          <t>여행지리</t>
        </is>
      </c>
      <c r="E99" s="221">
        <f>IFERROR(VLOOKUP(D99, 기본학점, 2, FALSE), "")</f>
        <v/>
      </c>
      <c r="F99" s="175" t="n">
        <v>3</v>
      </c>
      <c r="G99" s="55" t="n"/>
      <c r="H99" s="163" t="n"/>
      <c r="I99" s="43" t="n"/>
      <c r="J99" s="339" t="n"/>
      <c r="K99" s="349" t="n"/>
      <c r="L99" s="400" t="n"/>
      <c r="M99" s="343" t="n"/>
      <c r="N99" s="182" t="n"/>
      <c r="O99" s="369" t="n"/>
      <c r="P99" s="370" t="n"/>
    </row>
    <row r="100" ht="15.6" customHeight="1">
      <c r="A100" s="364" t="n"/>
      <c r="B100" s="382" t="n"/>
      <c r="C100" s="20" t="inlineStr">
        <is>
          <t>융합</t>
        </is>
      </c>
      <c r="D100" s="211" t="inlineStr">
        <is>
          <t>역사로 탐구하는 현대 세계</t>
        </is>
      </c>
      <c r="E100" s="171">
        <f>IFERROR(VLOOKUP(D100, 기본학점, 2, FALSE), "")</f>
        <v/>
      </c>
      <c r="F100" s="171" t="n">
        <v>3</v>
      </c>
      <c r="G100" s="133" t="n"/>
      <c r="H100" s="164" t="n"/>
      <c r="I100" s="59" t="n"/>
      <c r="J100" s="66" t="n"/>
      <c r="K100" s="350" t="n"/>
      <c r="L100" s="400" t="n"/>
      <c r="M100" s="212" t="n"/>
      <c r="N100" s="113" t="n"/>
      <c r="O100" s="369" t="n"/>
      <c r="P100" s="370" t="n"/>
    </row>
    <row r="101" ht="15.6" customHeight="1">
      <c r="A101" s="364" t="n"/>
      <c r="B101" s="385" t="inlineStr">
        <is>
          <t>과 학</t>
        </is>
      </c>
      <c r="C101" s="19" t="inlineStr">
        <is>
          <t>융합</t>
        </is>
      </c>
      <c r="D101" s="209" t="inlineStr">
        <is>
          <t>과학의 역사와 문화</t>
        </is>
      </c>
      <c r="E101" s="228">
        <f>IFERROR(VLOOKUP(D101, 기본학점, 2, FALSE), "")</f>
        <v/>
      </c>
      <c r="F101" s="173" t="n">
        <v>3</v>
      </c>
      <c r="G101" s="132" t="n"/>
      <c r="H101" s="162" t="n"/>
      <c r="I101" s="15" t="n"/>
      <c r="J101" s="340" t="n"/>
      <c r="K101" s="351" t="n"/>
      <c r="L101" s="400" t="n"/>
      <c r="M101" s="342" t="n"/>
      <c r="N101" s="184" t="n"/>
      <c r="O101" s="369" t="n"/>
      <c r="P101" s="370" t="n"/>
    </row>
    <row r="102" ht="15.6" customHeight="1">
      <c r="A102" s="364" t="n"/>
      <c r="B102" s="365" t="n"/>
      <c r="C102" s="10" t="inlineStr">
        <is>
          <t>융합</t>
        </is>
      </c>
      <c r="D102" s="206" t="inlineStr">
        <is>
          <t>기후변화와 환경생태</t>
        </is>
      </c>
      <c r="E102" s="221">
        <f>IFERROR(VLOOKUP(D102, 기본학점, 2, FALSE), "")</f>
        <v/>
      </c>
      <c r="F102" s="175" t="n">
        <v>3</v>
      </c>
      <c r="G102" s="150" t="n"/>
      <c r="H102" s="158" t="n"/>
      <c r="I102" s="48" t="n"/>
      <c r="J102" s="64" t="n"/>
      <c r="K102" s="352" t="n"/>
      <c r="L102" s="400" t="n"/>
      <c r="M102" s="343" t="n"/>
      <c r="N102" s="182" t="n"/>
      <c r="O102" s="369" t="n"/>
      <c r="P102" s="370" t="n"/>
    </row>
    <row r="103" ht="15.6" customHeight="1">
      <c r="A103" s="364" t="n"/>
      <c r="B103" s="382" t="n"/>
      <c r="C103" s="20" t="inlineStr">
        <is>
          <t>융합</t>
        </is>
      </c>
      <c r="D103" s="211" t="inlineStr">
        <is>
          <t>융합과학 탐구</t>
        </is>
      </c>
      <c r="E103" s="171">
        <f>IFERROR(VLOOKUP(D103, 기본학점, 2, FALSE), "")</f>
        <v/>
      </c>
      <c r="F103" s="131" t="n">
        <v>3</v>
      </c>
      <c r="G103" s="151" t="n"/>
      <c r="H103" s="159" t="n"/>
      <c r="I103" s="49" t="n"/>
      <c r="J103" s="65" t="n"/>
      <c r="K103" s="353" t="n"/>
      <c r="L103" s="400" t="n"/>
      <c r="M103" s="212" t="n"/>
      <c r="N103" s="183" t="n"/>
      <c r="O103" s="369" t="n"/>
      <c r="P103" s="370" t="n"/>
    </row>
    <row r="104" ht="15.6" customHeight="1">
      <c r="A104" s="364" t="n"/>
      <c r="B104" s="261" t="inlineStr">
        <is>
          <t>기술∙가정/정보</t>
        </is>
      </c>
      <c r="C104" s="19" t="inlineStr">
        <is>
          <t>진로</t>
        </is>
      </c>
      <c r="D104" s="209" t="inlineStr">
        <is>
          <t xml:space="preserve">인공지능 기초 </t>
        </is>
      </c>
      <c r="E104" s="228">
        <f>IFERROR(VLOOKUP(D104, 기본학점, 2, FALSE), "")</f>
        <v/>
      </c>
      <c r="F104" s="173" t="n">
        <v>3</v>
      </c>
      <c r="G104" s="132" t="n"/>
      <c r="H104" s="157" t="n"/>
      <c r="I104" s="15" t="n"/>
      <c r="J104" s="67" t="n"/>
      <c r="K104" s="351" t="n"/>
      <c r="L104" s="400" t="n"/>
      <c r="M104" s="342" t="n"/>
      <c r="N104" s="81" t="n"/>
      <c r="O104" s="369" t="n"/>
      <c r="P104" s="370" t="n"/>
    </row>
    <row r="105" ht="15.6" customHeight="1">
      <c r="A105" s="364" t="n"/>
      <c r="B105" s="385" t="inlineStr">
        <is>
          <t>제2외국어/한문</t>
        </is>
      </c>
      <c r="C105" s="19" t="inlineStr">
        <is>
          <t>융합</t>
        </is>
      </c>
      <c r="D105" s="209" t="inlineStr">
        <is>
          <t>일본 문화</t>
        </is>
      </c>
      <c r="E105" s="228">
        <f>IFERROR(VLOOKUP(D105, 기본학점, 2, FALSE), "")</f>
        <v/>
      </c>
      <c r="F105" s="173" t="n">
        <v>3</v>
      </c>
      <c r="G105" s="132" t="n"/>
      <c r="H105" s="157" t="n"/>
      <c r="I105" s="15" t="n"/>
      <c r="J105" s="67" t="n"/>
      <c r="K105" s="346" t="n"/>
      <c r="L105" s="400" t="n"/>
      <c r="M105" s="342" t="n"/>
      <c r="N105" s="81" t="n"/>
      <c r="O105" s="369" t="n"/>
      <c r="P105" s="370" t="n"/>
    </row>
    <row r="106" ht="15.6" customHeight="1">
      <c r="A106" s="364" t="n"/>
      <c r="B106" s="365" t="n"/>
      <c r="C106" s="10" t="inlineStr">
        <is>
          <t>융합</t>
        </is>
      </c>
      <c r="D106" s="206" t="inlineStr">
        <is>
          <t xml:space="preserve">중국 문화 </t>
        </is>
      </c>
      <c r="E106" s="221">
        <f>IFERROR(VLOOKUP(D106, 기본학점, 2, FALSE), "")</f>
        <v/>
      </c>
      <c r="F106" s="175" t="n">
        <v>3</v>
      </c>
      <c r="G106" s="55" t="n"/>
      <c r="H106" s="158" t="n"/>
      <c r="I106" s="11" t="n"/>
      <c r="J106" s="64" t="n"/>
      <c r="K106" s="352" t="n"/>
      <c r="L106" s="400" t="n"/>
      <c r="M106" s="343" t="n"/>
      <c r="N106" s="182" t="n"/>
      <c r="O106" s="369" t="n"/>
      <c r="P106" s="370" t="n"/>
    </row>
    <row r="107" ht="15.6" customHeight="1">
      <c r="A107" s="364" t="n"/>
      <c r="B107" s="382" t="n"/>
      <c r="C107" s="27" t="inlineStr">
        <is>
          <t>융합</t>
        </is>
      </c>
      <c r="D107" s="211" t="inlineStr">
        <is>
          <t>언어생활과 한자</t>
        </is>
      </c>
      <c r="E107" s="171">
        <f>IFERROR(VLOOKUP(D107, 기본학점, 2, FALSE), "")</f>
        <v/>
      </c>
      <c r="F107" s="131" t="n">
        <v>3</v>
      </c>
      <c r="G107" s="133" t="n"/>
      <c r="H107" s="159" t="n"/>
      <c r="I107" s="21" t="n"/>
      <c r="J107" s="65" t="n"/>
      <c r="K107" s="353" t="n"/>
      <c r="L107" s="400" t="n"/>
      <c r="M107" s="212" t="n"/>
      <c r="N107" s="183" t="n"/>
      <c r="O107" s="369" t="n"/>
      <c r="P107" s="370" t="n"/>
    </row>
    <row r="108" ht="15.6" customHeight="1">
      <c r="A108" s="364" t="n"/>
      <c r="B108" s="261" t="inlineStr">
        <is>
          <t>교 양</t>
        </is>
      </c>
      <c r="C108" s="19" t="inlineStr">
        <is>
          <t>진로</t>
        </is>
      </c>
      <c r="D108" s="209" t="inlineStr">
        <is>
          <t>인간과 철학</t>
        </is>
      </c>
      <c r="E108" s="228">
        <f>IFERROR(VLOOKUP(D108, 기본학점, 2, FALSE), "")</f>
        <v/>
      </c>
      <c r="F108" s="170" t="n">
        <v>3</v>
      </c>
      <c r="G108" s="132" t="n"/>
      <c r="H108" s="157" t="n"/>
      <c r="I108" s="15" t="n"/>
      <c r="J108" s="67" t="n"/>
      <c r="K108" s="346" t="n"/>
      <c r="L108" s="400" t="n"/>
      <c r="M108" s="342" t="n"/>
      <c r="N108" s="81" t="n"/>
      <c r="O108" s="369" t="n"/>
      <c r="P108" s="370" t="n"/>
    </row>
    <row r="109" ht="15.6" customHeight="1" thickBot="1">
      <c r="A109" s="364" t="n"/>
      <c r="B109" s="365" t="n"/>
      <c r="C109" s="28" t="inlineStr">
        <is>
          <t>진로</t>
        </is>
      </c>
      <c r="D109" s="243" t="inlineStr">
        <is>
          <t xml:space="preserve">논리와 사고 </t>
        </is>
      </c>
      <c r="E109" s="196">
        <f>IFERROR(VLOOKUP(D109, 기본학점, 2, FALSE), "")</f>
        <v/>
      </c>
      <c r="F109" s="125" t="n">
        <v>3</v>
      </c>
      <c r="G109" s="141" t="n"/>
      <c r="H109" s="310" t="n"/>
      <c r="I109" s="29" t="n"/>
      <c r="J109" s="244" t="n"/>
      <c r="K109" s="354" t="n"/>
      <c r="L109" s="401" t="n"/>
      <c r="M109" s="245" t="n"/>
      <c r="N109" s="246" t="n"/>
      <c r="O109" s="369" t="n"/>
      <c r="P109" s="370" t="n"/>
    </row>
    <row r="110" hidden="1" ht="17.25" customHeight="1" thickBot="1">
      <c r="A110" s="142" t="n"/>
      <c r="B110" s="123" t="n"/>
      <c r="C110" s="143" t="n"/>
      <c r="D110" s="144" t="n"/>
      <c r="E110" s="128">
        <f>IFERROR(VLOOKUP(D110, 기본학점, 2, FALSE), "")</f>
        <v/>
      </c>
      <c r="F110" s="131" t="n"/>
      <c r="G110" s="141" t="n"/>
      <c r="H110" s="310" t="n"/>
      <c r="I110" s="29" t="n"/>
      <c r="J110" s="193" t="n"/>
      <c r="K110" s="123" t="n"/>
      <c r="L110" s="193" t="n"/>
      <c r="M110" s="28" t="n"/>
      <c r="N110" s="28" t="n"/>
      <c r="O110" s="199" t="n"/>
      <c r="P110" s="259" t="n"/>
    </row>
    <row r="111" ht="17.25" customHeight="1">
      <c r="A111" s="379" t="inlineStr">
        <is>
          <t>교과 이수 학점 소계</t>
        </is>
      </c>
      <c r="B111" s="402" t="n"/>
      <c r="C111" s="402" t="n"/>
      <c r="D111" s="402" t="n"/>
      <c r="E111" s="361" t="n"/>
      <c r="F111" s="74" t="n"/>
      <c r="G111" s="68">
        <f>SUM(G7:G109)</f>
        <v/>
      </c>
      <c r="H111" s="201">
        <f>SUM(H7:H110)</f>
        <v/>
      </c>
      <c r="I111" s="68" t="n">
        <v>29</v>
      </c>
      <c r="J111" s="69" t="n">
        <v>29</v>
      </c>
      <c r="K111" s="70" t="n">
        <v>29</v>
      </c>
      <c r="L111" s="31" t="n">
        <v>29</v>
      </c>
      <c r="M111" s="186" t="n"/>
      <c r="N111" s="186" t="n"/>
      <c r="O111" s="30">
        <f>SUM(G111:L111)</f>
        <v/>
      </c>
      <c r="P111" s="314">
        <f>SUM(P7:P109)</f>
        <v/>
      </c>
      <c r="Q111" s="1" t="n"/>
    </row>
    <row r="112">
      <c r="A112" s="385" t="inlineStr">
        <is>
          <t>창의적 체험활동</t>
        </is>
      </c>
      <c r="B112" s="403" t="n"/>
      <c r="C112" s="403" t="n"/>
      <c r="D112" s="403" t="n"/>
      <c r="E112" s="404" t="n"/>
      <c r="F112" s="71" t="n">
        <v>18</v>
      </c>
      <c r="G112" s="29" t="n">
        <v>3</v>
      </c>
      <c r="H112" s="193" t="n">
        <v>3</v>
      </c>
      <c r="I112" s="269" t="n">
        <v>3</v>
      </c>
      <c r="J112" s="193" t="n">
        <v>3</v>
      </c>
      <c r="K112" s="269" t="n">
        <v>3</v>
      </c>
      <c r="L112" s="253" t="n">
        <v>3</v>
      </c>
      <c r="M112" s="96" t="n"/>
      <c r="N112" s="29" t="n"/>
      <c r="O112" s="29">
        <f>SUM(G112:L112)</f>
        <v/>
      </c>
      <c r="P112" s="313" t="n">
        <v>18</v>
      </c>
    </row>
    <row r="113" ht="15" customHeight="1">
      <c r="A113" s="385" t="inlineStr">
        <is>
          <t>학기별 총 이수 학점</t>
        </is>
      </c>
      <c r="B113" s="403" t="n"/>
      <c r="C113" s="403" t="n"/>
      <c r="D113" s="403" t="n"/>
      <c r="E113" s="403" t="n"/>
      <c r="F113" s="404" t="n"/>
      <c r="G113" s="72">
        <f>SUM(G111:G112)</f>
        <v/>
      </c>
      <c r="H113" s="73">
        <f>SUM(H111:H112)</f>
        <v/>
      </c>
      <c r="I113" s="72">
        <f>SUM(I111:I112)</f>
        <v/>
      </c>
      <c r="J113" s="73">
        <f>SUM(J111:J112)</f>
        <v/>
      </c>
      <c r="K113" s="72">
        <f>SUM(K111:K112)</f>
        <v/>
      </c>
      <c r="L113" s="73">
        <f>SUM(L111:L112)</f>
        <v/>
      </c>
      <c r="M113" s="71" t="n"/>
      <c r="N113" s="249" t="n"/>
      <c r="O113" s="387">
        <f>SUM(G113:M113)</f>
        <v/>
      </c>
      <c r="P113" s="405" t="n"/>
    </row>
    <row r="114" ht="15" customHeight="1">
      <c r="A114" s="385" t="inlineStr">
        <is>
          <t>학기당 이수 과목 수</t>
        </is>
      </c>
      <c r="B114" s="403" t="n"/>
      <c r="C114" s="403" t="n"/>
      <c r="D114" s="403" t="n"/>
      <c r="E114" s="403" t="n"/>
      <c r="F114" s="404" t="n"/>
      <c r="G114" s="249" t="n">
        <v>9</v>
      </c>
      <c r="H114" s="73" t="n">
        <v>9</v>
      </c>
      <c r="I114" s="72" t="n">
        <v>10</v>
      </c>
      <c r="J114" s="73" t="n">
        <v>10</v>
      </c>
      <c r="K114" s="72" t="n">
        <v>10</v>
      </c>
      <c r="L114" s="273" t="n">
        <v>10</v>
      </c>
      <c r="M114" s="71" t="n"/>
      <c r="N114" s="249" t="n"/>
      <c r="O114" s="406" t="n"/>
      <c r="P114" s="405" t="n"/>
    </row>
    <row r="115" ht="17.25" customHeight="1" thickBot="1">
      <c r="A115" s="391" t="inlineStr">
        <is>
          <t>학년별 총 이수 학점</t>
        </is>
      </c>
      <c r="B115" s="407" t="n"/>
      <c r="C115" s="407" t="n"/>
      <c r="D115" s="407" t="n"/>
      <c r="E115" s="407" t="n"/>
      <c r="F115" s="408" t="n"/>
      <c r="G115" s="409">
        <f>SUM(G113:H113)</f>
        <v/>
      </c>
      <c r="H115" s="408" t="n"/>
      <c r="I115" s="409">
        <f>SUM(I113:J113)</f>
        <v/>
      </c>
      <c r="J115" s="408" t="n"/>
      <c r="K115" s="409">
        <f>SUM(K113:L113)</f>
        <v/>
      </c>
      <c r="L115" s="408" t="n"/>
      <c r="M115" s="97" t="n"/>
      <c r="N115" s="178" t="n"/>
      <c r="O115" s="390">
        <f>SUM(G115:M115)</f>
        <v/>
      </c>
      <c r="P115" s="410" t="n"/>
    </row>
    <row r="116">
      <c r="A116" s="411" t="inlineStr">
        <is>
          <t>※ 유의사항
- 2, 3학년 1, 2학기(총4학기) 국어, 영어, 수학은 총 5과목(15학점) 이하로 선택 가능
- 3학년 선택과목에서 기술∙가정/정보, 제2외국어/한문, 교양 교과 중에서 반드시 학기당 1과목(1, 2학기 총 2과목) 이상 선택</t>
        </is>
      </c>
      <c r="B116" s="412" t="n"/>
      <c r="C116" s="412" t="n"/>
      <c r="D116" s="412" t="n"/>
      <c r="E116" s="412" t="n"/>
      <c r="F116" s="412" t="n"/>
      <c r="G116" s="412" t="n"/>
      <c r="H116" s="412" t="n"/>
      <c r="I116" s="412" t="n"/>
      <c r="J116" s="412" t="n"/>
      <c r="K116" s="412" t="n"/>
      <c r="L116" s="412" t="n"/>
      <c r="M116" s="412" t="n"/>
      <c r="N116" s="412" t="n"/>
      <c r="O116" s="412" t="n"/>
      <c r="P116" s="413" t="n"/>
    </row>
    <row r="117">
      <c r="A117" s="1" t="n"/>
      <c r="P117" s="414" t="n"/>
    </row>
    <row r="118">
      <c r="A118" s="1" t="n"/>
      <c r="P118" s="414" t="n"/>
    </row>
    <row r="119">
      <c r="A119" s="1" t="n"/>
      <c r="P119" s="414" t="n"/>
    </row>
    <row r="120">
      <c r="A120" s="1" t="n"/>
      <c r="P120" s="414" t="n"/>
    </row>
    <row r="121">
      <c r="A121" s="1" t="n"/>
      <c r="P121" s="414" t="n"/>
    </row>
    <row r="122">
      <c r="A122" s="1" t="n"/>
      <c r="P122" s="414" t="n"/>
      <c r="S122" s="7" t="n"/>
    </row>
    <row r="123">
      <c r="A123" s="1" t="n"/>
      <c r="P123" s="414" t="n"/>
    </row>
    <row r="124" ht="14.25" customHeight="1" thickBot="1">
      <c r="A124" s="415" t="n"/>
      <c r="B124" s="356" t="n"/>
      <c r="C124" s="356" t="n"/>
      <c r="D124" s="356" t="n"/>
      <c r="E124" s="356" t="n"/>
      <c r="F124" s="356" t="n"/>
      <c r="G124" s="356" t="n"/>
      <c r="H124" s="356" t="n"/>
      <c r="I124" s="356" t="n"/>
      <c r="J124" s="356" t="n"/>
      <c r="K124" s="356" t="n"/>
      <c r="L124" s="356" t="n"/>
      <c r="M124" s="356" t="n"/>
      <c r="N124" s="356" t="n"/>
      <c r="O124" s="356" t="n"/>
      <c r="P124" s="416" t="n"/>
    </row>
  </sheetData>
  <mergeCells count="88">
    <mergeCell ref="B61:B62"/>
    <mergeCell ref="O46:O74"/>
    <mergeCell ref="O75:O109"/>
    <mergeCell ref="B39:B42"/>
    <mergeCell ref="J4:J5"/>
    <mergeCell ref="L4:L5"/>
    <mergeCell ref="E3:E5"/>
    <mergeCell ref="P39:P42"/>
    <mergeCell ref="B29:B32"/>
    <mergeCell ref="B53:B56"/>
    <mergeCell ref="P75:P109"/>
    <mergeCell ref="B78:B81"/>
    <mergeCell ref="K115:L115"/>
    <mergeCell ref="B72:B74"/>
    <mergeCell ref="O27:O28"/>
    <mergeCell ref="I46:I56"/>
    <mergeCell ref="P13:P18"/>
    <mergeCell ref="B57:B59"/>
    <mergeCell ref="A2:D2"/>
    <mergeCell ref="P25:P26"/>
    <mergeCell ref="B90:B93"/>
    <mergeCell ref="M3:M5"/>
    <mergeCell ref="B7:B12"/>
    <mergeCell ref="P3:P5"/>
    <mergeCell ref="P43:P45"/>
    <mergeCell ref="A46:A74"/>
    <mergeCell ref="O29:O32"/>
    <mergeCell ref="K2:P2"/>
    <mergeCell ref="A75:A109"/>
    <mergeCell ref="A7:A45"/>
    <mergeCell ref="B3:B5"/>
    <mergeCell ref="J72:J74"/>
    <mergeCell ref="B44:B45"/>
    <mergeCell ref="A1:P1"/>
    <mergeCell ref="I57:I59"/>
    <mergeCell ref="B108:B109"/>
    <mergeCell ref="A114:F114"/>
    <mergeCell ref="P19:P24"/>
    <mergeCell ref="B64:B67"/>
    <mergeCell ref="H4:H5"/>
    <mergeCell ref="A3:A5"/>
    <mergeCell ref="O7:O12"/>
    <mergeCell ref="P46:P74"/>
    <mergeCell ref="O115:P115"/>
    <mergeCell ref="K3:L3"/>
    <mergeCell ref="B97:B100"/>
    <mergeCell ref="B87:B89"/>
    <mergeCell ref="O43:O45"/>
    <mergeCell ref="G115:H115"/>
    <mergeCell ref="O39:O42"/>
    <mergeCell ref="L94:L109"/>
    <mergeCell ref="O33:O38"/>
    <mergeCell ref="P27:P28"/>
    <mergeCell ref="C3:C5"/>
    <mergeCell ref="O25:O26"/>
    <mergeCell ref="K75:K93"/>
    <mergeCell ref="B82:B85"/>
    <mergeCell ref="J60:J71"/>
    <mergeCell ref="A115:F115"/>
    <mergeCell ref="O114:P114"/>
    <mergeCell ref="B105:B107"/>
    <mergeCell ref="K4:K5"/>
    <mergeCell ref="N3:N5"/>
    <mergeCell ref="B68:B71"/>
    <mergeCell ref="F3:F5"/>
    <mergeCell ref="B19:B24"/>
    <mergeCell ref="B33:B38"/>
    <mergeCell ref="B49:B52"/>
    <mergeCell ref="B101:B103"/>
    <mergeCell ref="A112:E112"/>
    <mergeCell ref="P29:P32"/>
    <mergeCell ref="O13:O18"/>
    <mergeCell ref="A113:F113"/>
    <mergeCell ref="I115:J115"/>
    <mergeCell ref="G3:H3"/>
    <mergeCell ref="O113:P113"/>
    <mergeCell ref="I3:J3"/>
    <mergeCell ref="A116:P124"/>
    <mergeCell ref="B13:B18"/>
    <mergeCell ref="O3:O5"/>
    <mergeCell ref="G4:G5"/>
    <mergeCell ref="I4:I5"/>
    <mergeCell ref="P7:P12"/>
    <mergeCell ref="D3:D5"/>
    <mergeCell ref="A111:E111"/>
    <mergeCell ref="B25:B28"/>
    <mergeCell ref="P33:P38"/>
    <mergeCell ref="O19:O24"/>
  </mergeCells>
  <conditionalFormatting sqref="E7:E11 E29:E31 E33:E37 E39:E41 E49:E51 E68:E70 E78:E80 E102 E105:E106 F47">
    <cfRule type="expression" priority="67" dxfId="12">
      <formula>ISTEXT(E7)</formula>
    </cfRule>
  </conditionalFormatting>
  <conditionalFormatting sqref="E8:E10">
    <cfRule type="expression" priority="66" dxfId="12">
      <formula>ISTEXT(E8)</formula>
    </cfRule>
  </conditionalFormatting>
  <conditionalFormatting sqref="E13:E17">
    <cfRule type="expression" priority="65" dxfId="12">
      <formula>ISTEXT(E13)</formula>
    </cfRule>
  </conditionalFormatting>
  <conditionalFormatting sqref="E19:E22">
    <cfRule type="expression" priority="64" dxfId="12">
      <formula>ISTEXT(E19)</formula>
    </cfRule>
  </conditionalFormatting>
  <conditionalFormatting sqref="E25">
    <cfRule type="expression" priority="62" dxfId="12">
      <formula>ISTEXT(E25)</formula>
    </cfRule>
  </conditionalFormatting>
  <conditionalFormatting sqref="E27">
    <cfRule type="expression" priority="61" dxfId="12">
      <formula>ISTEXT(E27)</formula>
    </cfRule>
  </conditionalFormatting>
  <conditionalFormatting sqref="E43">
    <cfRule type="expression" priority="57" dxfId="12">
      <formula>ISTEXT(E43)</formula>
    </cfRule>
  </conditionalFormatting>
  <conditionalFormatting sqref="E44">
    <cfRule type="expression" priority="55" dxfId="12">
      <formula>ISTEXT(E44)</formula>
    </cfRule>
  </conditionalFormatting>
  <conditionalFormatting sqref="E46">
    <cfRule type="expression" priority="51" dxfId="12">
      <formula>ISTEXT(E46)</formula>
    </cfRule>
  </conditionalFormatting>
  <conditionalFormatting sqref="E47">
    <cfRule type="expression" priority="50" dxfId="12">
      <formula>ISTEXT(E47)</formula>
    </cfRule>
  </conditionalFormatting>
  <conditionalFormatting sqref="E48">
    <cfRule type="expression" priority="49" dxfId="12">
      <formula>ISTEXT(E48)</formula>
    </cfRule>
  </conditionalFormatting>
  <conditionalFormatting sqref="E53:E55">
    <cfRule type="expression" priority="47" dxfId="12">
      <formula>ISTEXT(E53)</formula>
    </cfRule>
  </conditionalFormatting>
  <conditionalFormatting sqref="E57:E58">
    <cfRule type="expression" priority="41" dxfId="12">
      <formula>ISTEXT(E57)</formula>
    </cfRule>
  </conditionalFormatting>
  <conditionalFormatting sqref="E60">
    <cfRule type="expression" priority="39" dxfId="12">
      <formula>ISTEXT(E60)</formula>
    </cfRule>
  </conditionalFormatting>
  <conditionalFormatting sqref="E61">
    <cfRule type="expression" priority="38" dxfId="12">
      <formula>ISTEXT(E61)</formula>
    </cfRule>
  </conditionalFormatting>
  <conditionalFormatting sqref="E63">
    <cfRule type="expression" priority="37" dxfId="12">
      <formula>ISTEXT(E63)</formula>
    </cfRule>
  </conditionalFormatting>
  <conditionalFormatting sqref="E64:E65">
    <cfRule type="expression" priority="35" dxfId="12">
      <formula>ISTEXT(E64)</formula>
    </cfRule>
  </conditionalFormatting>
  <conditionalFormatting sqref="E66">
    <cfRule type="expression" priority="34" dxfId="12">
      <formula>ISTEXT(E66)</formula>
    </cfRule>
  </conditionalFormatting>
  <conditionalFormatting sqref="E72:E73">
    <cfRule type="expression" priority="27" dxfId="12">
      <formula>ISTEXT(E72)</formula>
    </cfRule>
  </conditionalFormatting>
  <conditionalFormatting sqref="E75">
    <cfRule type="expression" priority="25" dxfId="12">
      <formula>ISTEXT(E75)</formula>
    </cfRule>
  </conditionalFormatting>
  <conditionalFormatting sqref="E76">
    <cfRule type="expression" priority="24" dxfId="12">
      <formula>ISTEXT(E76)</formula>
    </cfRule>
  </conditionalFormatting>
  <conditionalFormatting sqref="E77">
    <cfRule type="expression" priority="23" dxfId="12">
      <formula>ISTEXT(E77)</formula>
    </cfRule>
  </conditionalFormatting>
  <conditionalFormatting sqref="E82:E84">
    <cfRule type="expression" priority="21" dxfId="12">
      <formula>ISTEXT(E82)</formula>
    </cfRule>
  </conditionalFormatting>
  <conditionalFormatting sqref="E86">
    <cfRule type="expression" priority="18" dxfId="12">
      <formula>ISTEXT(E86)</formula>
    </cfRule>
  </conditionalFormatting>
  <conditionalFormatting sqref="E87:E88">
    <cfRule type="expression" priority="17" dxfId="12">
      <formula>ISTEXT(E87)</formula>
    </cfRule>
  </conditionalFormatting>
  <conditionalFormatting sqref="E90:E92">
    <cfRule type="expression" priority="16" dxfId="12">
      <formula>ISTEXT(E90)</formula>
    </cfRule>
  </conditionalFormatting>
  <conditionalFormatting sqref="E94">
    <cfRule type="expression" priority="14" dxfId="12">
      <formula>ISTEXT(E94)</formula>
    </cfRule>
  </conditionalFormatting>
  <conditionalFormatting sqref="E95">
    <cfRule type="expression" priority="13" dxfId="12">
      <formula>ISTEXT(E95)</formula>
    </cfRule>
  </conditionalFormatting>
  <conditionalFormatting sqref="E96">
    <cfRule type="expression" priority="12" dxfId="12">
      <formula>ISTEXT(E96)</formula>
    </cfRule>
  </conditionalFormatting>
  <conditionalFormatting sqref="E97:E99">
    <cfRule type="expression" priority="11" dxfId="12">
      <formula>ISTEXT(E97)</formula>
    </cfRule>
  </conditionalFormatting>
  <conditionalFormatting sqref="E101">
    <cfRule type="expression" priority="9" dxfId="12">
      <formula>ISTEXT(E101)</formula>
    </cfRule>
  </conditionalFormatting>
  <conditionalFormatting sqref="E104">
    <cfRule type="expression" priority="4" dxfId="12">
      <formula>ISTEXT(E104)</formula>
    </cfRule>
  </conditionalFormatting>
  <conditionalFormatting sqref="E108:E109">
    <cfRule type="expression" priority="2" dxfId="12">
      <formula>ISTEXT(E108)</formula>
    </cfRule>
  </conditionalFormatting>
  <conditionalFormatting sqref="E23">
    <cfRule type="expression" priority="1" dxfId="12">
      <formula>ISTEXT(E23)</formula>
    </cfRule>
  </conditionalFormatting>
  <dataValidations xWindow="521" yWindow="482" count="5">
    <dataValidation sqref="C7:C32 C46:C56 C60:C71 C75:C85 C94:C103" showDropDown="0" showInputMessage="1" showErrorMessage="1" allowBlank="1" type="list">
      <formula1>과목유형</formula1>
    </dataValidation>
    <dataValidation sqref="B7:B10 B13:B110" showDropDown="0" showInputMessage="1" showErrorMessage="1" allowBlank="1" type="list">
      <formula1>교과군</formula1>
    </dataValidation>
    <dataValidation sqref="C33:C45 C57:C59 C72:C74 C86:C93 C104:C110" showDropDown="0" showInputMessage="1" showErrorMessage="1" allowBlank="1" type="list">
      <formula1>과목유형2</formula1>
    </dataValidation>
    <dataValidation sqref="M7:M110 N110" showDropDown="0" showInputMessage="1" showErrorMessage="0" allowBlank="1" type="list">
      <formula1>비고</formula1>
    </dataValidation>
    <dataValidation sqref="N7:N109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100" min="1" max="1"/>
    <col width="10.5546875" customWidth="1" style="100" min="2" max="3"/>
    <col width="8.77734375" customWidth="1" style="100" min="4" max="16384"/>
  </cols>
  <sheetData>
    <row r="1" ht="24" customHeight="1">
      <c r="A1" s="110" t="inlineStr">
        <is>
          <t>교과(군)</t>
        </is>
      </c>
      <c r="B1" s="111" t="inlineStr">
        <is>
          <t>입력용 
교과(군)</t>
        </is>
      </c>
      <c r="C1" s="111" t="inlineStr">
        <is>
          <t>목록이름</t>
        </is>
      </c>
      <c r="D1" s="98" t="inlineStr">
        <is>
          <t>과목유형</t>
        </is>
      </c>
      <c r="E1" s="99" t="inlineStr">
        <is>
          <t>국어공통</t>
        </is>
      </c>
      <c r="F1" s="99" t="inlineStr">
        <is>
          <t>국어일반</t>
        </is>
      </c>
      <c r="G1" s="99" t="inlineStr">
        <is>
          <t>국어진로</t>
        </is>
      </c>
      <c r="H1" s="99" t="inlineStr">
        <is>
          <t>국어융합</t>
        </is>
      </c>
      <c r="I1" s="99" t="inlineStr">
        <is>
          <t>수학공통</t>
        </is>
      </c>
      <c r="J1" s="99" t="inlineStr">
        <is>
          <t>수학일반</t>
        </is>
      </c>
      <c r="K1" s="99" t="inlineStr">
        <is>
          <t>수학진로</t>
        </is>
      </c>
      <c r="L1" s="99" t="inlineStr">
        <is>
          <t>수학융합</t>
        </is>
      </c>
      <c r="M1" s="99" t="inlineStr">
        <is>
          <t>영어공통</t>
        </is>
      </c>
      <c r="N1" s="99" t="inlineStr">
        <is>
          <t>영어일반</t>
        </is>
      </c>
      <c r="O1" s="99" t="inlineStr">
        <is>
          <t>영어진로</t>
        </is>
      </c>
      <c r="P1" s="99" t="inlineStr">
        <is>
          <t>영어융합</t>
        </is>
      </c>
      <c r="Q1" s="99" t="inlineStr">
        <is>
          <t>사회공통</t>
        </is>
      </c>
      <c r="R1" s="99" t="inlineStr">
        <is>
          <t>사회일반</t>
        </is>
      </c>
      <c r="S1" s="99" t="inlineStr">
        <is>
          <t>사회진로</t>
        </is>
      </c>
      <c r="T1" s="99" t="inlineStr">
        <is>
          <t>사회융합</t>
        </is>
      </c>
      <c r="U1" s="99" t="inlineStr">
        <is>
          <t>과학공통</t>
        </is>
      </c>
      <c r="V1" s="99" t="inlineStr">
        <is>
          <t>과학일반</t>
        </is>
      </c>
      <c r="W1" s="99" t="inlineStr">
        <is>
          <t>과학진로</t>
        </is>
      </c>
      <c r="X1" s="99" t="inlineStr">
        <is>
          <t>과학융합</t>
        </is>
      </c>
      <c r="Y1" s="99" t="inlineStr">
        <is>
          <t>체육일반</t>
        </is>
      </c>
      <c r="Z1" s="99" t="inlineStr">
        <is>
          <t>체육진로</t>
        </is>
      </c>
      <c r="AA1" s="99" t="inlineStr">
        <is>
          <t>체육융합</t>
        </is>
      </c>
      <c r="AB1" s="99" t="inlineStr">
        <is>
          <t>예술일반</t>
        </is>
      </c>
      <c r="AC1" s="99" t="inlineStr">
        <is>
          <t>예술진로</t>
        </is>
      </c>
      <c r="AD1" s="99" t="inlineStr">
        <is>
          <t>예술융합</t>
        </is>
      </c>
      <c r="AE1" s="99" t="inlineStr">
        <is>
          <t>기가정일반</t>
        </is>
      </c>
      <c r="AF1" s="99" t="inlineStr">
        <is>
          <t>기가정진로</t>
        </is>
      </c>
      <c r="AG1" s="99" t="inlineStr">
        <is>
          <t>기가정융합</t>
        </is>
      </c>
      <c r="AH1" s="99" t="inlineStr">
        <is>
          <t>외한일반</t>
        </is>
      </c>
      <c r="AI1" s="99" t="inlineStr">
        <is>
          <t>외한진로</t>
        </is>
      </c>
      <c r="AJ1" s="99" t="inlineStr">
        <is>
          <t>외한융합</t>
        </is>
      </c>
      <c r="AK1" s="99" t="inlineStr">
        <is>
          <t>교양일반</t>
        </is>
      </c>
      <c r="AL1" s="99" t="inlineStr">
        <is>
          <t>교양진로</t>
        </is>
      </c>
      <c r="AM1" s="99" t="inlineStr">
        <is>
          <t>교양융합</t>
        </is>
      </c>
    </row>
    <row r="2">
      <c r="A2" s="110" t="inlineStr">
        <is>
          <t>국 어</t>
        </is>
      </c>
      <c r="B2" s="110" t="inlineStr">
        <is>
          <t>국어</t>
        </is>
      </c>
      <c r="C2" s="110" t="inlineStr">
        <is>
          <t>과목유형</t>
        </is>
      </c>
      <c r="D2" s="98" t="inlineStr">
        <is>
          <t>공통</t>
        </is>
      </c>
      <c r="E2" s="101" t="inlineStr">
        <is>
          <t>공통국어1</t>
        </is>
      </c>
      <c r="F2" s="101" t="inlineStr">
        <is>
          <t xml:space="preserve">화법과 언어 </t>
        </is>
      </c>
      <c r="G2" s="101" t="inlineStr">
        <is>
          <t xml:space="preserve">주제 탐구 독서 </t>
        </is>
      </c>
      <c r="H2" s="101" t="inlineStr">
        <is>
          <t>독서 토론과 글쓰기</t>
        </is>
      </c>
      <c r="I2" s="101" t="inlineStr">
        <is>
          <t>공통수학1</t>
        </is>
      </c>
      <c r="J2" s="101" t="inlineStr">
        <is>
          <t>대수</t>
        </is>
      </c>
      <c r="K2" s="101" t="inlineStr">
        <is>
          <t>기하</t>
        </is>
      </c>
      <c r="L2" s="101" t="inlineStr">
        <is>
          <t xml:space="preserve">수학과 문화 </t>
        </is>
      </c>
      <c r="M2" s="101" t="inlineStr">
        <is>
          <t>공통영어1</t>
        </is>
      </c>
      <c r="N2" s="101" t="inlineStr">
        <is>
          <t>영어Ⅰ</t>
        </is>
      </c>
      <c r="O2" s="101" t="inlineStr">
        <is>
          <t>영미 문학 읽기</t>
        </is>
      </c>
      <c r="P2" s="101" t="inlineStr">
        <is>
          <t xml:space="preserve">실생활 영어 회화 </t>
        </is>
      </c>
      <c r="Q2" s="101" t="inlineStr">
        <is>
          <t>한국사1</t>
        </is>
      </c>
      <c r="R2" s="101" t="inlineStr">
        <is>
          <t>세계시민과 지리</t>
        </is>
      </c>
      <c r="S2" s="102" t="inlineStr">
        <is>
          <t>한국지리 탐구</t>
        </is>
      </c>
      <c r="T2" s="101" t="inlineStr">
        <is>
          <t>여행지리</t>
        </is>
      </c>
      <c r="U2" s="101" t="inlineStr">
        <is>
          <t>통합과학1</t>
        </is>
      </c>
      <c r="V2" s="101" t="inlineStr">
        <is>
          <t>물리학</t>
        </is>
      </c>
      <c r="W2" s="101" t="inlineStr">
        <is>
          <t xml:space="preserve">역학과 에너지 </t>
        </is>
      </c>
      <c r="X2" s="101" t="inlineStr">
        <is>
          <t>과학의 역사와 문화</t>
        </is>
      </c>
      <c r="Y2" s="102" t="inlineStr">
        <is>
          <t>체육1</t>
        </is>
      </c>
      <c r="Z2" s="101" t="inlineStr">
        <is>
          <t xml:space="preserve">운동과 건강 </t>
        </is>
      </c>
      <c r="AA2" s="101" t="inlineStr">
        <is>
          <t xml:space="preserve">스포츠 생활1 </t>
        </is>
      </c>
      <c r="AB2" s="101" t="inlineStr">
        <is>
          <t>음악</t>
        </is>
      </c>
      <c r="AC2" s="101" t="inlineStr">
        <is>
          <t>음악 연주와 창작</t>
        </is>
      </c>
      <c r="AD2" s="101" t="inlineStr">
        <is>
          <t>음악과 미디어</t>
        </is>
      </c>
      <c r="AE2" s="101" t="inlineStr">
        <is>
          <t>기술∙가정</t>
        </is>
      </c>
      <c r="AF2" s="101" t="inlineStr">
        <is>
          <t>로봇과 공학세계</t>
        </is>
      </c>
      <c r="AG2" s="101" t="inlineStr">
        <is>
          <t>창의 공학 설계</t>
        </is>
      </c>
      <c r="AH2" s="101" t="inlineStr">
        <is>
          <t xml:space="preserve">독일어 </t>
        </is>
      </c>
      <c r="AI2" s="102" t="inlineStr">
        <is>
          <t>독일어 회화</t>
        </is>
      </c>
      <c r="AJ2" s="101" t="inlineStr">
        <is>
          <t>독일어권 문화</t>
        </is>
      </c>
      <c r="AK2" s="101" t="inlineStr">
        <is>
          <t xml:space="preserve">진로와 직업 </t>
        </is>
      </c>
      <c r="AL2" s="102" t="inlineStr">
        <is>
          <t>인간과 철학</t>
        </is>
      </c>
      <c r="AM2" s="101" t="inlineStr">
        <is>
          <t xml:space="preserve">인간과 경제활동 </t>
        </is>
      </c>
    </row>
    <row r="3">
      <c r="A3" s="110" t="inlineStr">
        <is>
          <t>수 학</t>
        </is>
      </c>
      <c r="B3" s="110" t="inlineStr">
        <is>
          <t>수학</t>
        </is>
      </c>
      <c r="C3" s="110" t="inlineStr">
        <is>
          <t>과목유형</t>
        </is>
      </c>
      <c r="D3" s="98" t="inlineStr">
        <is>
          <t>일반</t>
        </is>
      </c>
      <c r="E3" s="101" t="inlineStr">
        <is>
          <t>공통국어2</t>
        </is>
      </c>
      <c r="F3" s="101" t="inlineStr">
        <is>
          <t xml:space="preserve">독서와 작문 </t>
        </is>
      </c>
      <c r="G3" s="101" t="inlineStr">
        <is>
          <t>문학과 영상</t>
        </is>
      </c>
      <c r="H3" s="101" t="inlineStr">
        <is>
          <t xml:space="preserve">매체 의사소통 </t>
        </is>
      </c>
      <c r="I3" s="101" t="inlineStr">
        <is>
          <t>공통수학2</t>
        </is>
      </c>
      <c r="J3" s="101" t="inlineStr">
        <is>
          <t>미적분Ⅰ</t>
        </is>
      </c>
      <c r="K3" s="101" t="inlineStr">
        <is>
          <t>미적분Ⅱ</t>
        </is>
      </c>
      <c r="L3" s="101" t="inlineStr">
        <is>
          <t>실용 통계</t>
        </is>
      </c>
      <c r="M3" s="101" t="inlineStr">
        <is>
          <t>공통영어2</t>
        </is>
      </c>
      <c r="N3" s="102" t="inlineStr">
        <is>
          <t>영어Ⅱ</t>
        </is>
      </c>
      <c r="O3" s="102" t="inlineStr">
        <is>
          <t>영어 발표와 토론</t>
        </is>
      </c>
      <c r="P3" s="101" t="inlineStr">
        <is>
          <t xml:space="preserve">미디어 영어 </t>
        </is>
      </c>
      <c r="Q3" s="101" t="inlineStr">
        <is>
          <t>한국사2</t>
        </is>
      </c>
      <c r="R3" s="101" t="inlineStr">
        <is>
          <t>세계사</t>
        </is>
      </c>
      <c r="S3" s="101" t="inlineStr">
        <is>
          <t xml:space="preserve">도시의 미래 탐구 </t>
        </is>
      </c>
      <c r="T3" s="101" t="inlineStr">
        <is>
          <t>역사로 탐구하는 현대 세계</t>
        </is>
      </c>
      <c r="U3" s="101" t="inlineStr">
        <is>
          <t>통합과학2</t>
        </is>
      </c>
      <c r="V3" s="102" t="inlineStr">
        <is>
          <t>화학</t>
        </is>
      </c>
      <c r="W3" s="101" t="inlineStr">
        <is>
          <t>전자기와 양자</t>
        </is>
      </c>
      <c r="X3" s="101" t="inlineStr">
        <is>
          <t>기후변화와 환경생태</t>
        </is>
      </c>
      <c r="Y3" s="102" t="inlineStr">
        <is>
          <t>체육2</t>
        </is>
      </c>
      <c r="Z3" s="101" t="inlineStr">
        <is>
          <t>스포츠 문화</t>
        </is>
      </c>
      <c r="AA3" s="101" t="inlineStr">
        <is>
          <t xml:space="preserve">스포츠 생활2 </t>
        </is>
      </c>
      <c r="AB3" s="101" t="inlineStr">
        <is>
          <t>미술</t>
        </is>
      </c>
      <c r="AC3" s="101" t="inlineStr">
        <is>
          <t>음악 감상과 비평</t>
        </is>
      </c>
      <c r="AD3" s="101" t="inlineStr">
        <is>
          <t>미술과 매체</t>
        </is>
      </c>
      <c r="AE3" s="101" t="inlineStr">
        <is>
          <t>정보</t>
        </is>
      </c>
      <c r="AF3" s="101" t="inlineStr">
        <is>
          <t>생활과학 탐구</t>
        </is>
      </c>
      <c r="AG3" s="101" t="inlineStr">
        <is>
          <t>지식 재산 일반</t>
        </is>
      </c>
      <c r="AH3" s="101" t="inlineStr">
        <is>
          <t>프랑스어</t>
        </is>
      </c>
      <c r="AI3" s="101" t="inlineStr">
        <is>
          <t xml:space="preserve">프랑스어 회화 </t>
        </is>
      </c>
      <c r="AJ3" s="101" t="inlineStr">
        <is>
          <t>프랑스어권 문화</t>
        </is>
      </c>
      <c r="AK3" s="101" t="inlineStr">
        <is>
          <t>생태와 환경</t>
        </is>
      </c>
      <c r="AL3" s="101" t="inlineStr">
        <is>
          <t xml:space="preserve">논리와 사고 </t>
        </is>
      </c>
      <c r="AM3" s="101" t="inlineStr">
        <is>
          <t>논술</t>
        </is>
      </c>
    </row>
    <row r="4">
      <c r="A4" s="110" t="inlineStr">
        <is>
          <t>영 어</t>
        </is>
      </c>
      <c r="B4" s="110" t="inlineStr">
        <is>
          <t>영어</t>
        </is>
      </c>
      <c r="C4" s="110" t="inlineStr">
        <is>
          <t>과목유형</t>
        </is>
      </c>
      <c r="D4" s="98" t="inlineStr">
        <is>
          <t>진로</t>
        </is>
      </c>
      <c r="E4" s="103" t="n"/>
      <c r="F4" s="101" t="inlineStr">
        <is>
          <t>문학</t>
        </is>
      </c>
      <c r="G4" s="101" t="inlineStr">
        <is>
          <t>직무 의사소통</t>
        </is>
      </c>
      <c r="H4" s="101" t="inlineStr">
        <is>
          <t>언어생활 탐구</t>
        </is>
      </c>
      <c r="I4" s="101" t="inlineStr">
        <is>
          <t>기본수학1</t>
        </is>
      </c>
      <c r="J4" s="101" t="inlineStr">
        <is>
          <t>확률과 통계</t>
        </is>
      </c>
      <c r="K4" s="101" t="inlineStr">
        <is>
          <t>경제 수학</t>
        </is>
      </c>
      <c r="L4" s="101" t="inlineStr">
        <is>
          <t>수학과제 탐구</t>
        </is>
      </c>
      <c r="M4" s="101" t="inlineStr">
        <is>
          <t>기본영어1</t>
        </is>
      </c>
      <c r="N4" s="101" t="inlineStr">
        <is>
          <t>영어 독해와 작문</t>
        </is>
      </c>
      <c r="O4" s="102" t="inlineStr">
        <is>
          <t xml:space="preserve">심화 영어 </t>
        </is>
      </c>
      <c r="P4" s="101" t="inlineStr">
        <is>
          <t>세계 문화와 영어</t>
        </is>
      </c>
      <c r="Q4" s="101" t="inlineStr">
        <is>
          <t>통합사회1</t>
        </is>
      </c>
      <c r="R4" s="101" t="inlineStr">
        <is>
          <t>사회와 문화</t>
        </is>
      </c>
      <c r="S4" s="101" t="inlineStr">
        <is>
          <t>동아시아 역사 기행</t>
        </is>
      </c>
      <c r="T4" s="101" t="inlineStr">
        <is>
          <t>사회문제 탐구</t>
        </is>
      </c>
      <c r="U4" s="101" t="inlineStr">
        <is>
          <t>과학탐구실험1</t>
        </is>
      </c>
      <c r="V4" s="101" t="inlineStr">
        <is>
          <t xml:space="preserve">생명과학 </t>
        </is>
      </c>
      <c r="W4" s="101" t="inlineStr">
        <is>
          <t xml:space="preserve">물질과 에너지 </t>
        </is>
      </c>
      <c r="X4" s="101" t="inlineStr">
        <is>
          <t>융합과학 탐구</t>
        </is>
      </c>
      <c r="Z4" s="101" t="inlineStr">
        <is>
          <t>스포츠 과학</t>
        </is>
      </c>
      <c r="AB4" s="101" t="inlineStr">
        <is>
          <t>연극</t>
        </is>
      </c>
      <c r="AC4" s="101" t="inlineStr">
        <is>
          <t xml:space="preserve">미술 창작 </t>
        </is>
      </c>
      <c r="AF4" s="102" t="inlineStr">
        <is>
          <t xml:space="preserve">인공지능 기초 </t>
        </is>
      </c>
      <c r="AG4" s="101" t="inlineStr">
        <is>
          <t xml:space="preserve">생애 설계와 자립 </t>
        </is>
      </c>
      <c r="AH4" s="101" t="inlineStr">
        <is>
          <t>스페인어</t>
        </is>
      </c>
      <c r="AI4" s="102" t="inlineStr">
        <is>
          <t>스페인어 회화</t>
        </is>
      </c>
      <c r="AJ4" s="101" t="inlineStr">
        <is>
          <t>스페인어권 문화</t>
        </is>
      </c>
      <c r="AL4" s="102" t="inlineStr">
        <is>
          <t>인간과 심리</t>
        </is>
      </c>
    </row>
    <row r="5" ht="24" customHeight="1">
      <c r="A5" s="111" t="inlineStr">
        <is>
          <t>사 회
(역사/도덕 포함)</t>
        </is>
      </c>
      <c r="B5" s="110" t="inlineStr">
        <is>
          <t>사회</t>
        </is>
      </c>
      <c r="C5" s="110" t="inlineStr">
        <is>
          <t>과목유형</t>
        </is>
      </c>
      <c r="D5" s="98" t="inlineStr">
        <is>
          <t>융합</t>
        </is>
      </c>
      <c r="E5" s="103" t="n"/>
      <c r="F5" s="103" t="n"/>
      <c r="G5" s="103" t="n"/>
      <c r="H5" s="103" t="n"/>
      <c r="I5" s="101" t="inlineStr">
        <is>
          <t>기본수학2</t>
        </is>
      </c>
      <c r="J5" s="103" t="n"/>
      <c r="K5" s="101" t="inlineStr">
        <is>
          <t>인공지능 수학</t>
        </is>
      </c>
      <c r="L5" s="103" t="n"/>
      <c r="M5" s="101" t="inlineStr">
        <is>
          <t>기본영어2</t>
        </is>
      </c>
      <c r="N5" s="104" t="n"/>
      <c r="O5" s="101" t="inlineStr">
        <is>
          <t xml:space="preserve">심화 영어 독해와 작문 </t>
        </is>
      </c>
      <c r="P5" s="104" t="n"/>
      <c r="Q5" s="101" t="inlineStr">
        <is>
          <t>통합사회2</t>
        </is>
      </c>
      <c r="R5" s="101" t="inlineStr">
        <is>
          <t>현대사회와 윤리</t>
        </is>
      </c>
      <c r="S5" s="101" t="inlineStr">
        <is>
          <t>정치</t>
        </is>
      </c>
      <c r="T5" s="101" t="inlineStr">
        <is>
          <t>금융과 경제생활</t>
        </is>
      </c>
      <c r="U5" s="101" t="inlineStr">
        <is>
          <t>과학탐구실험2</t>
        </is>
      </c>
      <c r="V5" s="102" t="inlineStr">
        <is>
          <t>지구과학</t>
        </is>
      </c>
      <c r="W5" s="101" t="inlineStr">
        <is>
          <t>화학 반응의 세계</t>
        </is>
      </c>
      <c r="AC5" s="101" t="inlineStr">
        <is>
          <t>미술 감상과 비평</t>
        </is>
      </c>
      <c r="AF5" s="102" t="inlineStr">
        <is>
          <t>데이터 과학</t>
        </is>
      </c>
      <c r="AG5" s="101" t="inlineStr">
        <is>
          <t>아동발달과 부모</t>
        </is>
      </c>
      <c r="AH5" s="101" t="inlineStr">
        <is>
          <t>중국어</t>
        </is>
      </c>
      <c r="AI5" s="101" t="inlineStr">
        <is>
          <t xml:space="preserve">중국어 회화 </t>
        </is>
      </c>
      <c r="AJ5" s="101" t="inlineStr">
        <is>
          <t xml:space="preserve">중국 문화 </t>
        </is>
      </c>
      <c r="AL5" s="101" t="inlineStr">
        <is>
          <t xml:space="preserve">교육의 이해 </t>
        </is>
      </c>
    </row>
    <row r="6">
      <c r="A6" s="110" t="inlineStr">
        <is>
          <t>과 학</t>
        </is>
      </c>
      <c r="B6" s="110" t="inlineStr">
        <is>
          <t>과학</t>
        </is>
      </c>
      <c r="C6" s="110" t="inlineStr">
        <is>
          <t>과목유형</t>
        </is>
      </c>
      <c r="E6" s="103" t="n"/>
      <c r="F6" s="103" t="n"/>
      <c r="G6" s="103" t="n"/>
      <c r="H6" s="103" t="n"/>
      <c r="I6" s="103" t="n"/>
      <c r="J6" s="103" t="n"/>
      <c r="K6" s="101" t="inlineStr">
        <is>
          <t>직무 수학</t>
        </is>
      </c>
      <c r="L6" s="103" t="n"/>
      <c r="M6" s="103" t="n"/>
      <c r="N6" s="103" t="n"/>
      <c r="O6" s="101" t="inlineStr">
        <is>
          <t>직무 영어</t>
        </is>
      </c>
      <c r="P6" s="104" t="n"/>
      <c r="S6" s="102" t="inlineStr">
        <is>
          <t xml:space="preserve">법과 사회 </t>
        </is>
      </c>
      <c r="T6" s="101" t="inlineStr">
        <is>
          <t>윤리문제 탐구</t>
        </is>
      </c>
      <c r="W6" s="101" t="inlineStr">
        <is>
          <t xml:space="preserve">세포와 물질대사 </t>
        </is>
      </c>
      <c r="AG6" s="101" t="inlineStr">
        <is>
          <t>소프트웨어와 생활</t>
        </is>
      </c>
      <c r="AH6" s="101" t="inlineStr">
        <is>
          <t xml:space="preserve">일본어 </t>
        </is>
      </c>
      <c r="AI6" s="102" t="inlineStr">
        <is>
          <t>일본어 회화</t>
        </is>
      </c>
      <c r="AJ6" s="101" t="inlineStr">
        <is>
          <t>일본 문화</t>
        </is>
      </c>
      <c r="AL6" s="102" t="inlineStr">
        <is>
          <t>삶과 종교</t>
        </is>
      </c>
    </row>
    <row r="7">
      <c r="A7" s="110" t="inlineStr">
        <is>
          <t>체 육</t>
        </is>
      </c>
      <c r="B7" s="110" t="inlineStr">
        <is>
          <t>체육</t>
        </is>
      </c>
      <c r="C7" s="110" t="inlineStr">
        <is>
          <t>과목유형2</t>
        </is>
      </c>
      <c r="E7" s="103" t="n"/>
      <c r="F7" s="103" t="n"/>
      <c r="G7" s="103" t="n"/>
      <c r="H7" s="103" t="n"/>
      <c r="I7" s="103" t="n"/>
      <c r="J7" s="103" t="n"/>
      <c r="K7" s="103" t="n"/>
      <c r="L7" s="103" t="n"/>
      <c r="M7" s="103" t="n"/>
      <c r="N7" s="103" t="n"/>
      <c r="O7" s="105" t="n"/>
      <c r="P7" s="104" t="n"/>
      <c r="S7" s="102" t="inlineStr">
        <is>
          <t>경제</t>
        </is>
      </c>
      <c r="T7" s="101" t="inlineStr">
        <is>
          <t>기후변화와 지속가능한 세계</t>
        </is>
      </c>
      <c r="W7" s="101" t="inlineStr">
        <is>
          <t>생물의 유전</t>
        </is>
      </c>
      <c r="AH7" s="101" t="inlineStr">
        <is>
          <t>러시아어</t>
        </is>
      </c>
      <c r="AI7" s="101" t="inlineStr">
        <is>
          <t xml:space="preserve">러시아어 회화 </t>
        </is>
      </c>
      <c r="AJ7" s="101" t="inlineStr">
        <is>
          <t xml:space="preserve">러시아 문화 </t>
        </is>
      </c>
      <c r="AL7" s="101" t="inlineStr">
        <is>
          <t>보건</t>
        </is>
      </c>
    </row>
    <row r="8">
      <c r="A8" s="110" t="inlineStr">
        <is>
          <t>예 술</t>
        </is>
      </c>
      <c r="B8" s="110" t="inlineStr">
        <is>
          <t>예술</t>
        </is>
      </c>
      <c r="C8" s="110" t="inlineStr">
        <is>
          <t>과목유형2</t>
        </is>
      </c>
      <c r="E8" s="103" t="n"/>
      <c r="F8" s="103" t="n"/>
      <c r="G8" s="103" t="n"/>
      <c r="H8" s="103" t="n"/>
      <c r="I8" s="103" t="n"/>
      <c r="J8" s="103" t="n"/>
      <c r="K8" s="103" t="n"/>
      <c r="L8" s="103" t="n"/>
      <c r="M8" s="103" t="n"/>
      <c r="N8" s="103" t="n"/>
      <c r="O8" s="105" t="n"/>
      <c r="P8" s="103" t="n"/>
      <c r="S8" s="102" t="inlineStr">
        <is>
          <t xml:space="preserve">윤리와 사상 </t>
        </is>
      </c>
      <c r="W8" s="101" t="inlineStr">
        <is>
          <t xml:space="preserve">지구시스템과학 </t>
        </is>
      </c>
      <c r="AH8" s="101" t="inlineStr">
        <is>
          <t>아랍어</t>
        </is>
      </c>
      <c r="AI8" s="102" t="inlineStr">
        <is>
          <t>아랍어 회화</t>
        </is>
      </c>
      <c r="AJ8" s="101" t="inlineStr">
        <is>
          <t>아랍 문화</t>
        </is>
      </c>
    </row>
    <row r="9">
      <c r="A9" s="110" t="inlineStr">
        <is>
          <t>기술∙가정/정보</t>
        </is>
      </c>
      <c r="B9" s="110" t="inlineStr">
        <is>
          <t>기가정</t>
        </is>
      </c>
      <c r="C9" s="110" t="inlineStr">
        <is>
          <t>과목유형2</t>
        </is>
      </c>
      <c r="E9" s="103" t="n"/>
      <c r="F9" s="103" t="n"/>
      <c r="G9" s="103" t="n"/>
      <c r="H9" s="103" t="n"/>
      <c r="I9" s="103" t="n"/>
      <c r="J9" s="103" t="n"/>
      <c r="K9" s="103" t="n"/>
      <c r="L9" s="103" t="n"/>
      <c r="M9" s="103" t="n"/>
      <c r="N9" s="103" t="n"/>
      <c r="O9" s="104" t="n"/>
      <c r="P9" s="103" t="n"/>
      <c r="S9" s="101" t="inlineStr">
        <is>
          <t>인문학과 윤리</t>
        </is>
      </c>
      <c r="W9" s="101" t="inlineStr">
        <is>
          <t>행성우주과학</t>
        </is>
      </c>
      <c r="AH9" s="101" t="inlineStr">
        <is>
          <t>베트남어</t>
        </is>
      </c>
      <c r="AI9" s="101" t="inlineStr">
        <is>
          <t>베트남어 회화</t>
        </is>
      </c>
      <c r="AJ9" s="101" t="inlineStr">
        <is>
          <t>베트남 문화</t>
        </is>
      </c>
    </row>
    <row r="10">
      <c r="A10" s="110" t="inlineStr">
        <is>
          <t>제2외국어/한문</t>
        </is>
      </c>
      <c r="B10" s="110" t="inlineStr">
        <is>
          <t>외한</t>
        </is>
      </c>
      <c r="C10" s="110" t="inlineStr">
        <is>
          <t>과목유형2</t>
        </is>
      </c>
      <c r="E10" s="103" t="n"/>
      <c r="F10" s="103" t="n"/>
      <c r="G10" s="103" t="n"/>
      <c r="H10" s="103" t="n"/>
      <c r="I10" s="103" t="n"/>
      <c r="J10" s="103" t="n"/>
      <c r="K10" s="103" t="n"/>
      <c r="L10" s="103" t="n"/>
      <c r="M10" s="103" t="n"/>
      <c r="N10" s="103" t="n"/>
      <c r="O10" s="104" t="n"/>
      <c r="P10" s="103" t="n"/>
      <c r="S10" s="101" t="inlineStr">
        <is>
          <t>국제 관계의 이해</t>
        </is>
      </c>
      <c r="AH10" s="101" t="inlineStr">
        <is>
          <t>한문</t>
        </is>
      </c>
      <c r="AI10" s="102" t="inlineStr">
        <is>
          <t>심화 독일어</t>
        </is>
      </c>
      <c r="AJ10" s="101" t="inlineStr">
        <is>
          <t>언어생활과 한자</t>
        </is>
      </c>
    </row>
    <row r="11">
      <c r="A11" s="110" t="inlineStr">
        <is>
          <t>교 양</t>
        </is>
      </c>
      <c r="B11" s="110" t="inlineStr">
        <is>
          <t>교양</t>
        </is>
      </c>
      <c r="C11" s="110" t="inlineStr">
        <is>
          <t>과목유형2</t>
        </is>
      </c>
      <c r="AI11" s="101" t="inlineStr">
        <is>
          <t xml:space="preserve">심화 프랑스어 </t>
        </is>
      </c>
    </row>
    <row r="12">
      <c r="AI12" s="102" t="inlineStr">
        <is>
          <t>심화 스페인어</t>
        </is>
      </c>
    </row>
    <row r="13">
      <c r="D13" s="108" t="inlineStr">
        <is>
          <t>과목명</t>
        </is>
      </c>
      <c r="E13" s="108" t="inlineStr">
        <is>
          <t>기본학점</t>
        </is>
      </c>
      <c r="F13" s="108" t="inlineStr">
        <is>
          <t>허용하한</t>
        </is>
      </c>
      <c r="G13" s="108" t="inlineStr">
        <is>
          <t>허용상한</t>
        </is>
      </c>
      <c r="J13" s="179" t="inlineStr">
        <is>
          <t>비고</t>
        </is>
      </c>
      <c r="K13" s="180" t="inlineStr">
        <is>
          <t>과목 개설 유형</t>
        </is>
      </c>
      <c r="AI13" s="101" t="inlineStr">
        <is>
          <t xml:space="preserve">심화 중국어 </t>
        </is>
      </c>
    </row>
    <row r="14">
      <c r="D14" s="106" t="inlineStr">
        <is>
          <t>공통국어1</t>
        </is>
      </c>
      <c r="E14" s="108" t="n">
        <v>4</v>
      </c>
      <c r="F14" s="108" t="n">
        <v>3</v>
      </c>
      <c r="G14" s="108" t="n">
        <v>4</v>
      </c>
      <c r="J14" s="179" t="inlineStr">
        <is>
          <t>특목고 선택 과목</t>
        </is>
      </c>
      <c r="K14" s="180" t="inlineStr">
        <is>
          <t>공유캠퍼스</t>
        </is>
      </c>
      <c r="AI14" s="102" t="inlineStr">
        <is>
          <t>심화 일본어</t>
        </is>
      </c>
    </row>
    <row r="15">
      <c r="D15" s="106" t="inlineStr">
        <is>
          <t>공통국어2</t>
        </is>
      </c>
      <c r="E15" s="108" t="n">
        <v>4</v>
      </c>
      <c r="F15" s="108" t="n">
        <v>3</v>
      </c>
      <c r="G15" s="108" t="n">
        <v>4</v>
      </c>
      <c r="J15" s="179" t="inlineStr">
        <is>
          <t>전문 교과</t>
        </is>
      </c>
      <c r="K15" s="180" t="inlineStr">
        <is>
          <t>온라인학교</t>
        </is>
      </c>
      <c r="AI15" s="101" t="inlineStr">
        <is>
          <t xml:space="preserve">심화 러시아어 </t>
        </is>
      </c>
    </row>
    <row r="16">
      <c r="D16" s="106" t="inlineStr">
        <is>
          <t>공통수학1</t>
        </is>
      </c>
      <c r="E16" s="108" t="n">
        <v>4</v>
      </c>
      <c r="F16" s="108" t="n">
        <v>3</v>
      </c>
      <c r="G16" s="108" t="n">
        <v>4</v>
      </c>
      <c r="J16" s="179" t="inlineStr">
        <is>
          <t>교육감 승인 과목</t>
        </is>
      </c>
      <c r="K16" s="180" t="inlineStr">
        <is>
          <t>학교 밖 교육</t>
        </is>
      </c>
      <c r="AI16" s="102" t="inlineStr">
        <is>
          <t>심화 아랍어</t>
        </is>
      </c>
    </row>
    <row r="17">
      <c r="D17" s="106" t="inlineStr">
        <is>
          <t>공통수학2</t>
        </is>
      </c>
      <c r="E17" s="108" t="n">
        <v>4</v>
      </c>
      <c r="F17" s="108" t="n">
        <v>3</v>
      </c>
      <c r="G17" s="108" t="n">
        <v>4</v>
      </c>
      <c r="J17" s="179" t="inlineStr">
        <is>
          <t>교육감 승인 과목(특목고)</t>
        </is>
      </c>
      <c r="AI17" s="101" t="inlineStr">
        <is>
          <t>심화 베트남어</t>
        </is>
      </c>
    </row>
    <row r="18">
      <c r="D18" s="106" t="inlineStr">
        <is>
          <t>기본수학1</t>
        </is>
      </c>
      <c r="E18" s="108" t="n">
        <v>4</v>
      </c>
      <c r="F18" s="108" t="n">
        <v>3</v>
      </c>
      <c r="G18" s="108" t="n">
        <v>4</v>
      </c>
      <c r="J18" s="179" t="inlineStr">
        <is>
          <t>교육감 승인 과목(전문)</t>
        </is>
      </c>
      <c r="K18" s="225" t="n"/>
      <c r="AI18" s="101" t="inlineStr">
        <is>
          <t>한문 고전 읽기</t>
        </is>
      </c>
    </row>
    <row r="19">
      <c r="D19" s="106" t="inlineStr">
        <is>
          <t>기본수학2</t>
        </is>
      </c>
      <c r="E19" s="108" t="n">
        <v>4</v>
      </c>
      <c r="F19" s="108" t="n">
        <v>3</v>
      </c>
      <c r="G19" s="108" t="n">
        <v>4</v>
      </c>
      <c r="J19" s="179" t="inlineStr">
        <is>
          <t>타 시·도 교육감 승인 과목</t>
        </is>
      </c>
      <c r="K19" s="225" t="n"/>
    </row>
    <row r="20">
      <c r="D20" s="106" t="inlineStr">
        <is>
          <t>공통영어1</t>
        </is>
      </c>
      <c r="E20" s="108" t="n">
        <v>4</v>
      </c>
      <c r="F20" s="108" t="n">
        <v>3</v>
      </c>
      <c r="G20" s="108" t="n">
        <v>4</v>
      </c>
      <c r="J20" s="179" t="inlineStr">
        <is>
          <t>타 시·도 교육감 승인 과목(특목고)</t>
        </is>
      </c>
      <c r="K20" s="225" t="n"/>
    </row>
    <row r="21">
      <c r="D21" s="106" t="inlineStr">
        <is>
          <t>공통영어2</t>
        </is>
      </c>
      <c r="E21" s="108" t="n">
        <v>4</v>
      </c>
      <c r="F21" s="108" t="n">
        <v>3</v>
      </c>
      <c r="G21" s="108" t="n">
        <v>4</v>
      </c>
      <c r="J21" s="179" t="inlineStr">
        <is>
          <t>타 시·도 교육감 승인 과목(전문)</t>
        </is>
      </c>
      <c r="K21" s="225" t="n"/>
    </row>
    <row r="22">
      <c r="D22" s="106" t="inlineStr">
        <is>
          <t>기본영어1</t>
        </is>
      </c>
      <c r="E22" s="108" t="n">
        <v>4</v>
      </c>
      <c r="F22" s="108" t="n">
        <v>3</v>
      </c>
      <c r="G22" s="108" t="n">
        <v>4</v>
      </c>
      <c r="J22" s="179" t="n"/>
      <c r="K22" s="226" t="n"/>
    </row>
    <row r="23">
      <c r="D23" s="106" t="inlineStr">
        <is>
          <t>기본영어2</t>
        </is>
      </c>
      <c r="E23" s="108" t="n">
        <v>4</v>
      </c>
      <c r="F23" s="108" t="n">
        <v>3</v>
      </c>
      <c r="G23" s="108" t="n">
        <v>4</v>
      </c>
    </row>
    <row r="24">
      <c r="D24" s="106" t="inlineStr">
        <is>
          <t>한국사1</t>
        </is>
      </c>
      <c r="E24" s="108" t="n">
        <v>3</v>
      </c>
      <c r="F24" s="108" t="n">
        <v>3</v>
      </c>
      <c r="G24" s="108" t="n">
        <v>3</v>
      </c>
    </row>
    <row r="25">
      <c r="D25" s="106" t="inlineStr">
        <is>
          <t>한국사2</t>
        </is>
      </c>
      <c r="E25" s="108" t="n">
        <v>3</v>
      </c>
      <c r="F25" s="108" t="n">
        <v>3</v>
      </c>
      <c r="G25" s="108" t="n">
        <v>3</v>
      </c>
    </row>
    <row r="26">
      <c r="D26" s="106" t="inlineStr">
        <is>
          <t>통합사회1</t>
        </is>
      </c>
      <c r="E26" s="108" t="n">
        <v>4</v>
      </c>
      <c r="F26" s="108" t="n">
        <v>3</v>
      </c>
      <c r="G26" s="108" t="n">
        <v>4</v>
      </c>
    </row>
    <row r="27">
      <c r="D27" s="106" t="inlineStr">
        <is>
          <t>통합사회2</t>
        </is>
      </c>
      <c r="E27" s="108" t="n">
        <v>4</v>
      </c>
      <c r="F27" s="108" t="n">
        <v>3</v>
      </c>
      <c r="G27" s="108" t="n">
        <v>4</v>
      </c>
    </row>
    <row r="28">
      <c r="D28" s="106" t="inlineStr">
        <is>
          <t>통합과학1</t>
        </is>
      </c>
      <c r="E28" s="108" t="n">
        <v>4</v>
      </c>
      <c r="F28" s="108" t="n">
        <v>3</v>
      </c>
      <c r="G28" s="108" t="n">
        <v>4</v>
      </c>
    </row>
    <row r="29">
      <c r="D29" s="106" t="inlineStr">
        <is>
          <t>통합과학2</t>
        </is>
      </c>
      <c r="E29" s="108" t="n">
        <v>4</v>
      </c>
      <c r="F29" s="108" t="n">
        <v>3</v>
      </c>
      <c r="G29" s="108" t="n">
        <v>4</v>
      </c>
    </row>
    <row r="30">
      <c r="D30" s="106" t="inlineStr">
        <is>
          <t>과학탐구실험1</t>
        </is>
      </c>
      <c r="E30" s="108" t="n">
        <v>1</v>
      </c>
      <c r="F30" s="108" t="n">
        <v>1</v>
      </c>
      <c r="G30" s="108" t="n">
        <v>1</v>
      </c>
    </row>
    <row r="31">
      <c r="D31" s="106" t="inlineStr">
        <is>
          <t>과학탐구실험2</t>
        </is>
      </c>
      <c r="E31" s="108" t="n">
        <v>1</v>
      </c>
      <c r="F31" s="108" t="n">
        <v>1</v>
      </c>
      <c r="G31" s="108" t="n">
        <v>1</v>
      </c>
    </row>
    <row r="32">
      <c r="D32" s="106" t="inlineStr">
        <is>
          <t xml:space="preserve">화법과 언어 </t>
        </is>
      </c>
      <c r="E32" s="108" t="n">
        <v>4</v>
      </c>
      <c r="F32" s="108" t="n">
        <v>3</v>
      </c>
      <c r="G32" s="108" t="n">
        <v>5</v>
      </c>
    </row>
    <row r="33">
      <c r="D33" s="106" t="inlineStr">
        <is>
          <t xml:space="preserve">독서와 작문 </t>
        </is>
      </c>
      <c r="E33" s="108" t="n">
        <v>4</v>
      </c>
      <c r="F33" s="108" t="n">
        <v>3</v>
      </c>
      <c r="G33" s="108" t="n">
        <v>5</v>
      </c>
    </row>
    <row r="34">
      <c r="D34" s="106" t="inlineStr">
        <is>
          <t>문학</t>
        </is>
      </c>
      <c r="E34" s="108" t="n">
        <v>4</v>
      </c>
      <c r="F34" s="108" t="n">
        <v>3</v>
      </c>
      <c r="G34" s="108" t="n">
        <v>5</v>
      </c>
    </row>
    <row r="35">
      <c r="D35" s="106" t="inlineStr">
        <is>
          <t>대수</t>
        </is>
      </c>
      <c r="E35" s="108" t="n">
        <v>4</v>
      </c>
      <c r="F35" s="108" t="n">
        <v>3</v>
      </c>
      <c r="G35" s="108" t="n">
        <v>5</v>
      </c>
    </row>
    <row r="36">
      <c r="D36" s="106" t="inlineStr">
        <is>
          <t>미적분Ⅰ</t>
        </is>
      </c>
      <c r="E36" s="108" t="n">
        <v>4</v>
      </c>
      <c r="F36" s="108" t="n">
        <v>3</v>
      </c>
      <c r="G36" s="108" t="n">
        <v>5</v>
      </c>
    </row>
    <row r="37">
      <c r="D37" s="106" t="inlineStr">
        <is>
          <t>확률과 통계</t>
        </is>
      </c>
      <c r="E37" s="108" t="n">
        <v>4</v>
      </c>
      <c r="F37" s="108" t="n">
        <v>3</v>
      </c>
      <c r="G37" s="108" t="n">
        <v>5</v>
      </c>
    </row>
    <row r="38">
      <c r="D38" s="106" t="inlineStr">
        <is>
          <t>영어Ⅰ</t>
        </is>
      </c>
      <c r="E38" s="108" t="n">
        <v>4</v>
      </c>
      <c r="F38" s="108" t="n">
        <v>3</v>
      </c>
      <c r="G38" s="108" t="n">
        <v>5</v>
      </c>
    </row>
    <row r="39">
      <c r="D39" s="107" t="inlineStr">
        <is>
          <t>영어Ⅱ</t>
        </is>
      </c>
      <c r="E39" s="108" t="n">
        <v>4</v>
      </c>
      <c r="F39" s="108" t="n">
        <v>3</v>
      </c>
      <c r="G39" s="108" t="n">
        <v>5</v>
      </c>
    </row>
    <row r="40">
      <c r="D40" s="106" t="inlineStr">
        <is>
          <t>영어 독해와 작문</t>
        </is>
      </c>
      <c r="E40" s="108" t="n">
        <v>4</v>
      </c>
      <c r="F40" s="108" t="n">
        <v>3</v>
      </c>
      <c r="G40" s="108" t="n">
        <v>5</v>
      </c>
    </row>
    <row r="41">
      <c r="D41" s="106" t="inlineStr">
        <is>
          <t>세계시민과 지리</t>
        </is>
      </c>
      <c r="E41" s="108" t="n">
        <v>4</v>
      </c>
      <c r="F41" s="108" t="n">
        <v>3</v>
      </c>
      <c r="G41" s="108" t="n">
        <v>5</v>
      </c>
    </row>
    <row r="42">
      <c r="D42" s="106" t="inlineStr">
        <is>
          <t>세계사</t>
        </is>
      </c>
      <c r="E42" s="108" t="n">
        <v>4</v>
      </c>
      <c r="F42" s="108" t="n">
        <v>3</v>
      </c>
      <c r="G42" s="108" t="n">
        <v>5</v>
      </c>
    </row>
    <row r="43">
      <c r="D43" s="106" t="inlineStr">
        <is>
          <t>사회와 문화</t>
        </is>
      </c>
      <c r="E43" s="108" t="n">
        <v>4</v>
      </c>
      <c r="F43" s="108" t="n">
        <v>3</v>
      </c>
      <c r="G43" s="108" t="n">
        <v>5</v>
      </c>
    </row>
    <row r="44">
      <c r="D44" s="106" t="inlineStr">
        <is>
          <t>현대사회와 윤리</t>
        </is>
      </c>
      <c r="E44" s="108" t="n">
        <v>4</v>
      </c>
      <c r="F44" s="108" t="n">
        <v>3</v>
      </c>
      <c r="G44" s="108" t="n">
        <v>5</v>
      </c>
    </row>
    <row r="45">
      <c r="D45" s="106" t="inlineStr">
        <is>
          <t>물리학</t>
        </is>
      </c>
      <c r="E45" s="108" t="n">
        <v>4</v>
      </c>
      <c r="F45" s="108" t="n">
        <v>3</v>
      </c>
      <c r="G45" s="108" t="n">
        <v>5</v>
      </c>
    </row>
    <row r="46">
      <c r="D46" s="107" t="inlineStr">
        <is>
          <t>화학</t>
        </is>
      </c>
      <c r="E46" s="108" t="n">
        <v>4</v>
      </c>
      <c r="F46" s="108" t="n">
        <v>3</v>
      </c>
      <c r="G46" s="108" t="n">
        <v>5</v>
      </c>
    </row>
    <row r="47">
      <c r="D47" s="106" t="inlineStr">
        <is>
          <t xml:space="preserve">생명과학 </t>
        </is>
      </c>
      <c r="E47" s="108" t="n">
        <v>4</v>
      </c>
      <c r="F47" s="108" t="n">
        <v>3</v>
      </c>
      <c r="G47" s="108" t="n">
        <v>5</v>
      </c>
    </row>
    <row r="48">
      <c r="D48" s="107" t="inlineStr">
        <is>
          <t>지구과학</t>
        </is>
      </c>
      <c r="E48" s="108" t="n">
        <v>4</v>
      </c>
      <c r="F48" s="108" t="n">
        <v>3</v>
      </c>
      <c r="G48" s="108" t="n">
        <v>5</v>
      </c>
    </row>
    <row r="49">
      <c r="D49" s="107" t="inlineStr">
        <is>
          <t>체육1</t>
        </is>
      </c>
      <c r="E49" s="108" t="n">
        <v>3</v>
      </c>
      <c r="F49" s="108" t="n">
        <v>2</v>
      </c>
      <c r="G49" s="108" t="n">
        <v>4</v>
      </c>
    </row>
    <row r="50">
      <c r="D50" s="107" t="inlineStr">
        <is>
          <t>체육2</t>
        </is>
      </c>
      <c r="E50" s="108" t="n">
        <v>3</v>
      </c>
      <c r="F50" s="108" t="n">
        <v>2</v>
      </c>
      <c r="G50" s="108" t="n">
        <v>4</v>
      </c>
    </row>
    <row r="51">
      <c r="D51" s="106" t="inlineStr">
        <is>
          <t>음악</t>
        </is>
      </c>
      <c r="E51" s="108" t="n">
        <v>3</v>
      </c>
      <c r="F51" s="108" t="n">
        <v>2</v>
      </c>
      <c r="G51" s="108" t="n">
        <v>4</v>
      </c>
    </row>
    <row r="52">
      <c r="D52" s="106" t="inlineStr">
        <is>
          <t>미술</t>
        </is>
      </c>
      <c r="E52" s="108" t="n">
        <v>3</v>
      </c>
      <c r="F52" s="108" t="n">
        <v>2</v>
      </c>
      <c r="G52" s="108" t="n">
        <v>4</v>
      </c>
    </row>
    <row r="53">
      <c r="D53" s="106" t="inlineStr">
        <is>
          <t>연극</t>
        </is>
      </c>
      <c r="E53" s="108" t="n">
        <v>3</v>
      </c>
      <c r="F53" s="108" t="n">
        <v>2</v>
      </c>
      <c r="G53" s="108" t="n">
        <v>4</v>
      </c>
    </row>
    <row r="54">
      <c r="D54" s="106" t="inlineStr">
        <is>
          <t>기술∙가정</t>
        </is>
      </c>
      <c r="E54" s="108" t="n">
        <v>4</v>
      </c>
      <c r="F54" s="108" t="n">
        <v>3</v>
      </c>
      <c r="G54" s="108" t="n">
        <v>5</v>
      </c>
    </row>
    <row r="55">
      <c r="D55" s="106" t="inlineStr">
        <is>
          <t>정보</t>
        </is>
      </c>
      <c r="E55" s="108" t="n">
        <v>4</v>
      </c>
      <c r="F55" s="108" t="n">
        <v>3</v>
      </c>
      <c r="G55" s="108" t="n">
        <v>5</v>
      </c>
    </row>
    <row r="56">
      <c r="D56" s="106" t="inlineStr">
        <is>
          <t xml:space="preserve">독일어 </t>
        </is>
      </c>
      <c r="E56" s="108" t="n">
        <v>4</v>
      </c>
      <c r="F56" s="108" t="n">
        <v>3</v>
      </c>
      <c r="G56" s="108" t="n">
        <v>5</v>
      </c>
    </row>
    <row r="57">
      <c r="D57" s="106" t="inlineStr">
        <is>
          <t>프랑스어</t>
        </is>
      </c>
      <c r="E57" s="108" t="n">
        <v>4</v>
      </c>
      <c r="F57" s="108" t="n">
        <v>3</v>
      </c>
      <c r="G57" s="108" t="n">
        <v>5</v>
      </c>
    </row>
    <row r="58">
      <c r="D58" s="106" t="inlineStr">
        <is>
          <t>스페인어</t>
        </is>
      </c>
      <c r="E58" s="108" t="n">
        <v>4</v>
      </c>
      <c r="F58" s="108" t="n">
        <v>3</v>
      </c>
      <c r="G58" s="108" t="n">
        <v>5</v>
      </c>
    </row>
    <row r="59">
      <c r="D59" s="106" t="inlineStr">
        <is>
          <t>중국어</t>
        </is>
      </c>
      <c r="E59" s="108" t="n">
        <v>4</v>
      </c>
      <c r="F59" s="108" t="n">
        <v>3</v>
      </c>
      <c r="G59" s="108" t="n">
        <v>5</v>
      </c>
    </row>
    <row r="60">
      <c r="D60" s="106" t="inlineStr">
        <is>
          <t xml:space="preserve">일본어 </t>
        </is>
      </c>
      <c r="E60" s="108" t="n">
        <v>4</v>
      </c>
      <c r="F60" s="108" t="n">
        <v>3</v>
      </c>
      <c r="G60" s="108" t="n">
        <v>5</v>
      </c>
    </row>
    <row r="61">
      <c r="D61" s="106" t="inlineStr">
        <is>
          <t>러시아어</t>
        </is>
      </c>
      <c r="E61" s="108" t="n">
        <v>4</v>
      </c>
      <c r="F61" s="108" t="n">
        <v>3</v>
      </c>
      <c r="G61" s="108" t="n">
        <v>5</v>
      </c>
    </row>
    <row r="62">
      <c r="D62" s="106" t="inlineStr">
        <is>
          <t>아랍어</t>
        </is>
      </c>
      <c r="E62" s="108" t="n">
        <v>4</v>
      </c>
      <c r="F62" s="108" t="n">
        <v>3</v>
      </c>
      <c r="G62" s="108" t="n">
        <v>5</v>
      </c>
    </row>
    <row r="63">
      <c r="D63" s="106" t="inlineStr">
        <is>
          <t>베트남어</t>
        </is>
      </c>
      <c r="E63" s="108" t="n">
        <v>4</v>
      </c>
      <c r="F63" s="108" t="n">
        <v>3</v>
      </c>
      <c r="G63" s="108" t="n">
        <v>5</v>
      </c>
    </row>
    <row r="64">
      <c r="D64" s="106" t="inlineStr">
        <is>
          <t>한문</t>
        </is>
      </c>
      <c r="E64" s="108" t="n">
        <v>4</v>
      </c>
      <c r="F64" s="108" t="n">
        <v>3</v>
      </c>
      <c r="G64" s="108" t="n">
        <v>5</v>
      </c>
    </row>
    <row r="65">
      <c r="D65" s="106" t="inlineStr">
        <is>
          <t xml:space="preserve">진로와 직업 </t>
        </is>
      </c>
      <c r="E65" s="108" t="n">
        <v>3</v>
      </c>
      <c r="F65" s="108" t="n">
        <v>2</v>
      </c>
      <c r="G65" s="108" t="n">
        <v>4</v>
      </c>
    </row>
    <row r="66">
      <c r="D66" s="106" t="inlineStr">
        <is>
          <t>생태와 환경</t>
        </is>
      </c>
      <c r="E66" s="108" t="n">
        <v>3</v>
      </c>
      <c r="F66" s="108" t="n">
        <v>2</v>
      </c>
      <c r="G66" s="108" t="n">
        <v>4</v>
      </c>
    </row>
    <row r="67">
      <c r="D67" s="106" t="inlineStr">
        <is>
          <t xml:space="preserve">주제 탐구 독서 </t>
        </is>
      </c>
      <c r="E67" s="108" t="n">
        <v>4</v>
      </c>
      <c r="F67" s="108" t="n">
        <v>3</v>
      </c>
      <c r="G67" s="108" t="n">
        <v>5</v>
      </c>
    </row>
    <row r="68">
      <c r="D68" s="106" t="inlineStr">
        <is>
          <t>문학과 영상</t>
        </is>
      </c>
      <c r="E68" s="108" t="n">
        <v>4</v>
      </c>
      <c r="F68" s="108" t="n">
        <v>3</v>
      </c>
      <c r="G68" s="108" t="n">
        <v>5</v>
      </c>
    </row>
    <row r="69">
      <c r="D69" s="106" t="inlineStr">
        <is>
          <t>직무 의사소통</t>
        </is>
      </c>
      <c r="E69" s="108" t="n">
        <v>4</v>
      </c>
      <c r="F69" s="108" t="n">
        <v>3</v>
      </c>
      <c r="G69" s="108" t="n">
        <v>5</v>
      </c>
    </row>
    <row r="70">
      <c r="D70" s="106" t="inlineStr">
        <is>
          <t>기하</t>
        </is>
      </c>
      <c r="E70" s="108" t="n">
        <v>4</v>
      </c>
      <c r="F70" s="108" t="n">
        <v>3</v>
      </c>
      <c r="G70" s="108" t="n">
        <v>5</v>
      </c>
    </row>
    <row r="71">
      <c r="D71" s="106" t="inlineStr">
        <is>
          <t>미적분Ⅱ</t>
        </is>
      </c>
      <c r="E71" s="108" t="n">
        <v>4</v>
      </c>
      <c r="F71" s="108" t="n">
        <v>3</v>
      </c>
      <c r="G71" s="108" t="n">
        <v>5</v>
      </c>
    </row>
    <row r="72">
      <c r="D72" s="106" t="inlineStr">
        <is>
          <t>경제 수학</t>
        </is>
      </c>
      <c r="E72" s="108" t="n">
        <v>4</v>
      </c>
      <c r="F72" s="108" t="n">
        <v>3</v>
      </c>
      <c r="G72" s="108" t="n">
        <v>5</v>
      </c>
    </row>
    <row r="73">
      <c r="D73" s="106" t="inlineStr">
        <is>
          <t>인공지능 수학</t>
        </is>
      </c>
      <c r="E73" s="108" t="n">
        <v>4</v>
      </c>
      <c r="F73" s="108" t="n">
        <v>3</v>
      </c>
      <c r="G73" s="108" t="n">
        <v>5</v>
      </c>
    </row>
    <row r="74">
      <c r="D74" s="106" t="inlineStr">
        <is>
          <t>직무 수학</t>
        </is>
      </c>
      <c r="E74" s="108" t="n">
        <v>4</v>
      </c>
      <c r="F74" s="108" t="n">
        <v>3</v>
      </c>
      <c r="G74" s="108" t="n">
        <v>5</v>
      </c>
    </row>
    <row r="75">
      <c r="D75" s="106" t="inlineStr">
        <is>
          <t>영미 문학 읽기</t>
        </is>
      </c>
      <c r="E75" s="108" t="n">
        <v>4</v>
      </c>
      <c r="F75" s="108" t="n">
        <v>3</v>
      </c>
      <c r="G75" s="108" t="n">
        <v>5</v>
      </c>
    </row>
    <row r="76">
      <c r="D76" s="107" t="inlineStr">
        <is>
          <t>영어 발표와 토론</t>
        </is>
      </c>
      <c r="E76" s="108" t="n">
        <v>4</v>
      </c>
      <c r="F76" s="108" t="n">
        <v>3</v>
      </c>
      <c r="G76" s="108" t="n">
        <v>5</v>
      </c>
    </row>
    <row r="77">
      <c r="D77" s="107" t="inlineStr">
        <is>
          <t xml:space="preserve">심화 영어 </t>
        </is>
      </c>
      <c r="E77" s="108" t="n">
        <v>4</v>
      </c>
      <c r="F77" s="108" t="n">
        <v>3</v>
      </c>
      <c r="G77" s="108" t="n">
        <v>5</v>
      </c>
    </row>
    <row r="78">
      <c r="D78" s="106" t="inlineStr">
        <is>
          <t xml:space="preserve">심화 영어 독해와 작문 </t>
        </is>
      </c>
      <c r="E78" s="108" t="n">
        <v>4</v>
      </c>
      <c r="F78" s="108" t="n">
        <v>3</v>
      </c>
      <c r="G78" s="108" t="n">
        <v>5</v>
      </c>
    </row>
    <row r="79">
      <c r="D79" s="106" t="inlineStr">
        <is>
          <t>직무 영어</t>
        </is>
      </c>
      <c r="E79" s="108" t="n">
        <v>4</v>
      </c>
      <c r="F79" s="108" t="n">
        <v>3</v>
      </c>
      <c r="G79" s="108" t="n">
        <v>5</v>
      </c>
    </row>
    <row r="80">
      <c r="D80" s="107" t="inlineStr">
        <is>
          <t>한국지리 탐구</t>
        </is>
      </c>
      <c r="E80" s="108" t="n">
        <v>4</v>
      </c>
      <c r="F80" s="108" t="n">
        <v>3</v>
      </c>
      <c r="G80" s="108" t="n">
        <v>5</v>
      </c>
    </row>
    <row r="81">
      <c r="D81" s="106" t="inlineStr">
        <is>
          <t xml:space="preserve">도시의 미래 탐구 </t>
        </is>
      </c>
      <c r="E81" s="108" t="n">
        <v>4</v>
      </c>
      <c r="F81" s="108" t="n">
        <v>3</v>
      </c>
      <c r="G81" s="108" t="n">
        <v>5</v>
      </c>
    </row>
    <row r="82">
      <c r="D82" s="106" t="inlineStr">
        <is>
          <t>동아시아 역사 기행</t>
        </is>
      </c>
      <c r="E82" s="108" t="n">
        <v>4</v>
      </c>
      <c r="F82" s="108" t="n">
        <v>3</v>
      </c>
      <c r="G82" s="108" t="n">
        <v>5</v>
      </c>
    </row>
    <row r="83">
      <c r="D83" s="106" t="inlineStr">
        <is>
          <t>정치</t>
        </is>
      </c>
      <c r="E83" s="108" t="n">
        <v>4</v>
      </c>
      <c r="F83" s="108" t="n">
        <v>3</v>
      </c>
      <c r="G83" s="108" t="n">
        <v>5</v>
      </c>
    </row>
    <row r="84">
      <c r="D84" s="107" t="inlineStr">
        <is>
          <t xml:space="preserve">법과 사회 </t>
        </is>
      </c>
      <c r="E84" s="108" t="n">
        <v>4</v>
      </c>
      <c r="F84" s="108" t="n">
        <v>3</v>
      </c>
      <c r="G84" s="108" t="n">
        <v>5</v>
      </c>
    </row>
    <row r="85">
      <c r="D85" s="107" t="inlineStr">
        <is>
          <t>경제</t>
        </is>
      </c>
      <c r="E85" s="108" t="n">
        <v>4</v>
      </c>
      <c r="F85" s="108" t="n">
        <v>3</v>
      </c>
      <c r="G85" s="108" t="n">
        <v>5</v>
      </c>
    </row>
    <row r="86">
      <c r="D86" s="107" t="inlineStr">
        <is>
          <t xml:space="preserve">윤리와 사상 </t>
        </is>
      </c>
      <c r="E86" s="108" t="n">
        <v>4</v>
      </c>
      <c r="F86" s="108" t="n">
        <v>3</v>
      </c>
      <c r="G86" s="108" t="n">
        <v>5</v>
      </c>
    </row>
    <row r="87">
      <c r="D87" s="106" t="inlineStr">
        <is>
          <t>인문학과 윤리</t>
        </is>
      </c>
      <c r="E87" s="108" t="n">
        <v>4</v>
      </c>
      <c r="F87" s="108" t="n">
        <v>3</v>
      </c>
      <c r="G87" s="108" t="n">
        <v>5</v>
      </c>
    </row>
    <row r="88">
      <c r="D88" s="106" t="inlineStr">
        <is>
          <t>국제 관계의 이해</t>
        </is>
      </c>
      <c r="E88" s="108" t="n">
        <v>4</v>
      </c>
      <c r="F88" s="108" t="n">
        <v>3</v>
      </c>
      <c r="G88" s="108" t="n">
        <v>5</v>
      </c>
    </row>
    <row r="89">
      <c r="D89" s="106" t="inlineStr">
        <is>
          <t xml:space="preserve">역학과 에너지 </t>
        </is>
      </c>
      <c r="E89" s="108" t="n">
        <v>4</v>
      </c>
      <c r="F89" s="108" t="n">
        <v>3</v>
      </c>
      <c r="G89" s="108" t="n">
        <v>5</v>
      </c>
    </row>
    <row r="90">
      <c r="D90" s="106" t="inlineStr">
        <is>
          <t>전자기와 양자</t>
        </is>
      </c>
      <c r="E90" s="108" t="n">
        <v>4</v>
      </c>
      <c r="F90" s="108" t="n">
        <v>3</v>
      </c>
      <c r="G90" s="108" t="n">
        <v>5</v>
      </c>
    </row>
    <row r="91">
      <c r="D91" s="106" t="inlineStr">
        <is>
          <t xml:space="preserve">물질과 에너지 </t>
        </is>
      </c>
      <c r="E91" s="108" t="n">
        <v>4</v>
      </c>
      <c r="F91" s="108" t="n">
        <v>3</v>
      </c>
      <c r="G91" s="108" t="n">
        <v>5</v>
      </c>
    </row>
    <row r="92">
      <c r="D92" s="106" t="inlineStr">
        <is>
          <t>화학 반응의 세계</t>
        </is>
      </c>
      <c r="E92" s="108" t="n">
        <v>4</v>
      </c>
      <c r="F92" s="108" t="n">
        <v>3</v>
      </c>
      <c r="G92" s="108" t="n">
        <v>5</v>
      </c>
    </row>
    <row r="93">
      <c r="D93" s="106" t="inlineStr">
        <is>
          <t xml:space="preserve">세포와 물질대사 </t>
        </is>
      </c>
      <c r="E93" s="108" t="n">
        <v>4</v>
      </c>
      <c r="F93" s="108" t="n">
        <v>3</v>
      </c>
      <c r="G93" s="108" t="n">
        <v>5</v>
      </c>
    </row>
    <row r="94">
      <c r="D94" s="106" t="inlineStr">
        <is>
          <t>생물의 유전</t>
        </is>
      </c>
      <c r="E94" s="108" t="n">
        <v>4</v>
      </c>
      <c r="F94" s="108" t="n">
        <v>3</v>
      </c>
      <c r="G94" s="108" t="n">
        <v>5</v>
      </c>
    </row>
    <row r="95">
      <c r="D95" s="106" t="inlineStr">
        <is>
          <t xml:space="preserve">지구시스템과학 </t>
        </is>
      </c>
      <c r="E95" s="108" t="n">
        <v>4</v>
      </c>
      <c r="F95" s="108" t="n">
        <v>3</v>
      </c>
      <c r="G95" s="108" t="n">
        <v>5</v>
      </c>
    </row>
    <row r="96">
      <c r="D96" s="106" t="inlineStr">
        <is>
          <t>행성우주과학</t>
        </is>
      </c>
      <c r="E96" s="108" t="n">
        <v>4</v>
      </c>
      <c r="F96" s="108" t="n">
        <v>3</v>
      </c>
      <c r="G96" s="108" t="n">
        <v>5</v>
      </c>
    </row>
    <row r="97">
      <c r="D97" s="106" t="inlineStr">
        <is>
          <t xml:space="preserve">운동과 건강 </t>
        </is>
      </c>
      <c r="E97" s="108" t="n">
        <v>3</v>
      </c>
      <c r="F97" s="108" t="n">
        <v>2</v>
      </c>
      <c r="G97" s="108" t="n">
        <v>4</v>
      </c>
    </row>
    <row r="98">
      <c r="D98" s="106" t="inlineStr">
        <is>
          <t>스포츠 문화</t>
        </is>
      </c>
      <c r="E98" s="109" t="n">
        <v>2</v>
      </c>
      <c r="F98" s="109" t="n">
        <v>1</v>
      </c>
      <c r="G98" s="109" t="n">
        <v>2</v>
      </c>
    </row>
    <row r="99">
      <c r="D99" s="106" t="inlineStr">
        <is>
          <t>스포츠 과학</t>
        </is>
      </c>
      <c r="E99" s="109" t="n">
        <v>2</v>
      </c>
      <c r="F99" s="109" t="n">
        <v>1</v>
      </c>
      <c r="G99" s="109" t="n">
        <v>2</v>
      </c>
    </row>
    <row r="100">
      <c r="D100" s="106" t="inlineStr">
        <is>
          <t>음악 연주와 창작</t>
        </is>
      </c>
      <c r="E100" s="108" t="n">
        <v>3</v>
      </c>
      <c r="F100" s="108" t="n">
        <v>2</v>
      </c>
      <c r="G100" s="108" t="n">
        <v>4</v>
      </c>
    </row>
    <row r="101">
      <c r="D101" s="106" t="inlineStr">
        <is>
          <t>음악 감상과 비평</t>
        </is>
      </c>
      <c r="E101" s="108" t="n">
        <v>3</v>
      </c>
      <c r="F101" s="108" t="n">
        <v>2</v>
      </c>
      <c r="G101" s="108" t="n">
        <v>4</v>
      </c>
    </row>
    <row r="102">
      <c r="D102" s="106" t="inlineStr">
        <is>
          <t xml:space="preserve">미술 창작 </t>
        </is>
      </c>
      <c r="E102" s="108" t="n">
        <v>3</v>
      </c>
      <c r="F102" s="108" t="n">
        <v>2</v>
      </c>
      <c r="G102" s="108" t="n">
        <v>4</v>
      </c>
    </row>
    <row r="103">
      <c r="D103" s="106" t="inlineStr">
        <is>
          <t>미술 감상과 비평</t>
        </is>
      </c>
      <c r="E103" s="108" t="n">
        <v>3</v>
      </c>
      <c r="F103" s="108" t="n">
        <v>2</v>
      </c>
      <c r="G103" s="108" t="n">
        <v>4</v>
      </c>
    </row>
    <row r="104">
      <c r="D104" s="106" t="inlineStr">
        <is>
          <t>로봇과 공학세계</t>
        </is>
      </c>
      <c r="E104" s="108" t="n">
        <v>4</v>
      </c>
      <c r="F104" s="108" t="n">
        <v>3</v>
      </c>
      <c r="G104" s="108" t="n">
        <v>5</v>
      </c>
    </row>
    <row r="105">
      <c r="D105" s="106" t="inlineStr">
        <is>
          <t>생활과학 탐구</t>
        </is>
      </c>
      <c r="E105" s="108" t="n">
        <v>4</v>
      </c>
      <c r="F105" s="108" t="n">
        <v>3</v>
      </c>
      <c r="G105" s="108" t="n">
        <v>5</v>
      </c>
    </row>
    <row r="106">
      <c r="D106" s="107" t="inlineStr">
        <is>
          <t xml:space="preserve">인공지능 기초 </t>
        </is>
      </c>
      <c r="E106" s="108" t="n">
        <v>4</v>
      </c>
      <c r="F106" s="108" t="n">
        <v>3</v>
      </c>
      <c r="G106" s="108" t="n">
        <v>5</v>
      </c>
    </row>
    <row r="107">
      <c r="D107" s="107" t="inlineStr">
        <is>
          <t>데이터 과학</t>
        </is>
      </c>
      <c r="E107" s="108" t="n">
        <v>4</v>
      </c>
      <c r="F107" s="108" t="n">
        <v>3</v>
      </c>
      <c r="G107" s="108" t="n">
        <v>5</v>
      </c>
    </row>
    <row r="108">
      <c r="D108" s="107" t="inlineStr">
        <is>
          <t>독일어 회화</t>
        </is>
      </c>
      <c r="E108" s="108" t="n">
        <v>4</v>
      </c>
      <c r="F108" s="108" t="n">
        <v>3</v>
      </c>
      <c r="G108" s="108" t="n">
        <v>5</v>
      </c>
    </row>
    <row r="109">
      <c r="D109" s="106" t="inlineStr">
        <is>
          <t xml:space="preserve">프랑스어 회화 </t>
        </is>
      </c>
      <c r="E109" s="108" t="n">
        <v>4</v>
      </c>
      <c r="F109" s="108" t="n">
        <v>3</v>
      </c>
      <c r="G109" s="108" t="n">
        <v>5</v>
      </c>
    </row>
    <row r="110">
      <c r="D110" s="107" t="inlineStr">
        <is>
          <t>스페인어 회화</t>
        </is>
      </c>
      <c r="E110" s="108" t="n">
        <v>4</v>
      </c>
      <c r="F110" s="108" t="n">
        <v>3</v>
      </c>
      <c r="G110" s="108" t="n">
        <v>5</v>
      </c>
    </row>
    <row r="111">
      <c r="D111" s="106" t="inlineStr">
        <is>
          <t xml:space="preserve">중국어 회화 </t>
        </is>
      </c>
      <c r="E111" s="108" t="n">
        <v>4</v>
      </c>
      <c r="F111" s="108" t="n">
        <v>3</v>
      </c>
      <c r="G111" s="108" t="n">
        <v>5</v>
      </c>
    </row>
    <row r="112">
      <c r="D112" s="107" t="inlineStr">
        <is>
          <t>일본어 회화</t>
        </is>
      </c>
      <c r="E112" s="108" t="n">
        <v>4</v>
      </c>
      <c r="F112" s="108" t="n">
        <v>3</v>
      </c>
      <c r="G112" s="108" t="n">
        <v>5</v>
      </c>
    </row>
    <row r="113">
      <c r="D113" s="106" t="inlineStr">
        <is>
          <t xml:space="preserve">러시아어 회화 </t>
        </is>
      </c>
      <c r="E113" s="108" t="n">
        <v>4</v>
      </c>
      <c r="F113" s="108" t="n">
        <v>3</v>
      </c>
      <c r="G113" s="108" t="n">
        <v>5</v>
      </c>
    </row>
    <row r="114">
      <c r="D114" s="107" t="inlineStr">
        <is>
          <t>아랍어 회화</t>
        </is>
      </c>
      <c r="E114" s="108" t="n">
        <v>4</v>
      </c>
      <c r="F114" s="108" t="n">
        <v>3</v>
      </c>
      <c r="G114" s="108" t="n">
        <v>5</v>
      </c>
    </row>
    <row r="115">
      <c r="D115" s="106" t="inlineStr">
        <is>
          <t>베트남어 회화</t>
        </is>
      </c>
      <c r="E115" s="108" t="n">
        <v>4</v>
      </c>
      <c r="F115" s="108" t="n">
        <v>3</v>
      </c>
      <c r="G115" s="108" t="n">
        <v>5</v>
      </c>
    </row>
    <row r="116">
      <c r="D116" s="107" t="inlineStr">
        <is>
          <t>심화 독일어</t>
        </is>
      </c>
      <c r="E116" s="108" t="n">
        <v>4</v>
      </c>
      <c r="F116" s="108" t="n">
        <v>3</v>
      </c>
      <c r="G116" s="108" t="n">
        <v>5</v>
      </c>
    </row>
    <row r="117">
      <c r="D117" s="106" t="inlineStr">
        <is>
          <t xml:space="preserve">심화 프랑스어 </t>
        </is>
      </c>
      <c r="E117" s="108" t="n">
        <v>4</v>
      </c>
      <c r="F117" s="108" t="n">
        <v>3</v>
      </c>
      <c r="G117" s="108" t="n">
        <v>5</v>
      </c>
    </row>
    <row r="118">
      <c r="D118" s="107" t="inlineStr">
        <is>
          <t>심화 스페인어</t>
        </is>
      </c>
      <c r="E118" s="108" t="n">
        <v>4</v>
      </c>
      <c r="F118" s="108" t="n">
        <v>3</v>
      </c>
      <c r="G118" s="108" t="n">
        <v>5</v>
      </c>
    </row>
    <row r="119">
      <c r="D119" s="106" t="inlineStr">
        <is>
          <t xml:space="preserve">심화 중국어 </t>
        </is>
      </c>
      <c r="E119" s="108" t="n">
        <v>4</v>
      </c>
      <c r="F119" s="108" t="n">
        <v>3</v>
      </c>
      <c r="G119" s="108" t="n">
        <v>5</v>
      </c>
    </row>
    <row r="120">
      <c r="D120" s="107" t="inlineStr">
        <is>
          <t>심화 일본어</t>
        </is>
      </c>
      <c r="E120" s="108" t="n">
        <v>4</v>
      </c>
      <c r="F120" s="108" t="n">
        <v>3</v>
      </c>
      <c r="G120" s="108" t="n">
        <v>5</v>
      </c>
    </row>
    <row r="121">
      <c r="D121" s="106" t="inlineStr">
        <is>
          <t xml:space="preserve">심화 러시아어 </t>
        </is>
      </c>
      <c r="E121" s="108" t="n">
        <v>4</v>
      </c>
      <c r="F121" s="108" t="n">
        <v>3</v>
      </c>
      <c r="G121" s="108" t="n">
        <v>5</v>
      </c>
    </row>
    <row r="122">
      <c r="D122" s="107" t="inlineStr">
        <is>
          <t>심화 아랍어</t>
        </is>
      </c>
      <c r="E122" s="108" t="n">
        <v>4</v>
      </c>
      <c r="F122" s="108" t="n">
        <v>3</v>
      </c>
      <c r="G122" s="108" t="n">
        <v>5</v>
      </c>
    </row>
    <row r="123">
      <c r="D123" s="106" t="inlineStr">
        <is>
          <t>심화 베트남어</t>
        </is>
      </c>
      <c r="E123" s="108" t="n">
        <v>4</v>
      </c>
      <c r="F123" s="108" t="n">
        <v>3</v>
      </c>
      <c r="G123" s="108" t="n">
        <v>5</v>
      </c>
    </row>
    <row r="124">
      <c r="D124" s="106" t="inlineStr">
        <is>
          <t>한문 고전 읽기</t>
        </is>
      </c>
      <c r="E124" s="108" t="n">
        <v>4</v>
      </c>
      <c r="F124" s="108" t="n">
        <v>3</v>
      </c>
      <c r="G124" s="108" t="n">
        <v>5</v>
      </c>
    </row>
    <row r="125">
      <c r="D125" s="107" t="inlineStr">
        <is>
          <t>인간과 철학</t>
        </is>
      </c>
      <c r="E125" s="108" t="n">
        <v>3</v>
      </c>
      <c r="F125" s="108" t="n">
        <v>2</v>
      </c>
      <c r="G125" s="108" t="n">
        <v>4</v>
      </c>
    </row>
    <row r="126">
      <c r="D126" s="106" t="inlineStr">
        <is>
          <t xml:space="preserve">논리와 사고 </t>
        </is>
      </c>
      <c r="E126" s="108" t="n">
        <v>3</v>
      </c>
      <c r="F126" s="108" t="n">
        <v>2</v>
      </c>
      <c r="G126" s="108" t="n">
        <v>4</v>
      </c>
    </row>
    <row r="127">
      <c r="D127" s="107" t="inlineStr">
        <is>
          <t>인간과 심리</t>
        </is>
      </c>
      <c r="E127" s="108" t="n">
        <v>3</v>
      </c>
      <c r="F127" s="108" t="n">
        <v>2</v>
      </c>
      <c r="G127" s="108" t="n">
        <v>4</v>
      </c>
    </row>
    <row r="128">
      <c r="D128" s="106" t="inlineStr">
        <is>
          <t xml:space="preserve">교육의 이해 </t>
        </is>
      </c>
      <c r="E128" s="108" t="n">
        <v>3</v>
      </c>
      <c r="F128" s="108" t="n">
        <v>2</v>
      </c>
      <c r="G128" s="108" t="n">
        <v>4</v>
      </c>
    </row>
    <row r="129">
      <c r="D129" s="107" t="inlineStr">
        <is>
          <t>삶과 종교</t>
        </is>
      </c>
      <c r="E129" s="108" t="n">
        <v>3</v>
      </c>
      <c r="F129" s="108" t="n">
        <v>2</v>
      </c>
      <c r="G129" s="108" t="n">
        <v>4</v>
      </c>
    </row>
    <row r="130">
      <c r="D130" s="106" t="inlineStr">
        <is>
          <t>보건</t>
        </is>
      </c>
      <c r="E130" s="108" t="n">
        <v>3</v>
      </c>
      <c r="F130" s="108" t="n">
        <v>2</v>
      </c>
      <c r="G130" s="108" t="n">
        <v>4</v>
      </c>
    </row>
    <row r="131">
      <c r="D131" s="106" t="inlineStr">
        <is>
          <t>독서 토론과 글쓰기</t>
        </is>
      </c>
      <c r="E131" s="108" t="n">
        <v>4</v>
      </c>
      <c r="F131" s="108" t="n">
        <v>3</v>
      </c>
      <c r="G131" s="108" t="n">
        <v>5</v>
      </c>
    </row>
    <row r="132">
      <c r="D132" s="106" t="inlineStr">
        <is>
          <t xml:space="preserve">매체 의사소통 </t>
        </is>
      </c>
      <c r="E132" s="108" t="n">
        <v>4</v>
      </c>
      <c r="F132" s="108" t="n">
        <v>3</v>
      </c>
      <c r="G132" s="108" t="n">
        <v>5</v>
      </c>
    </row>
    <row r="133">
      <c r="D133" s="106" t="inlineStr">
        <is>
          <t>언어생활 탐구</t>
        </is>
      </c>
      <c r="E133" s="108" t="n">
        <v>4</v>
      </c>
      <c r="F133" s="108" t="n">
        <v>3</v>
      </c>
      <c r="G133" s="108" t="n">
        <v>5</v>
      </c>
    </row>
    <row r="134">
      <c r="D134" s="106" t="inlineStr">
        <is>
          <t xml:space="preserve">수학과 문화 </t>
        </is>
      </c>
      <c r="E134" s="108" t="n">
        <v>4</v>
      </c>
      <c r="F134" s="108" t="n">
        <v>3</v>
      </c>
      <c r="G134" s="108" t="n">
        <v>5</v>
      </c>
    </row>
    <row r="135">
      <c r="D135" s="106" t="inlineStr">
        <is>
          <t>실용 통계</t>
        </is>
      </c>
      <c r="E135" s="108" t="n">
        <v>4</v>
      </c>
      <c r="F135" s="108" t="n">
        <v>3</v>
      </c>
      <c r="G135" s="108" t="n">
        <v>5</v>
      </c>
    </row>
    <row r="136">
      <c r="D136" s="106" t="inlineStr">
        <is>
          <t>수학과제 탐구</t>
        </is>
      </c>
      <c r="E136" s="108" t="n">
        <v>4</v>
      </c>
      <c r="F136" s="108" t="n">
        <v>3</v>
      </c>
      <c r="G136" s="108" t="n">
        <v>5</v>
      </c>
    </row>
    <row r="137">
      <c r="D137" s="106" t="inlineStr">
        <is>
          <t xml:space="preserve">실생활 영어 회화 </t>
        </is>
      </c>
      <c r="E137" s="108" t="n">
        <v>4</v>
      </c>
      <c r="F137" s="108" t="n">
        <v>3</v>
      </c>
      <c r="G137" s="108" t="n">
        <v>5</v>
      </c>
    </row>
    <row r="138">
      <c r="D138" s="106" t="inlineStr">
        <is>
          <t xml:space="preserve">미디어 영어 </t>
        </is>
      </c>
      <c r="E138" s="108" t="n">
        <v>4</v>
      </c>
      <c r="F138" s="108" t="n">
        <v>3</v>
      </c>
      <c r="G138" s="108" t="n">
        <v>5</v>
      </c>
    </row>
    <row r="139">
      <c r="D139" s="106" t="inlineStr">
        <is>
          <t>세계 문화와 영어</t>
        </is>
      </c>
      <c r="E139" s="108" t="n">
        <v>4</v>
      </c>
      <c r="F139" s="108" t="n">
        <v>3</v>
      </c>
      <c r="G139" s="108" t="n">
        <v>5</v>
      </c>
    </row>
    <row r="140">
      <c r="D140" s="106" t="inlineStr">
        <is>
          <t>여행지리</t>
        </is>
      </c>
      <c r="E140" s="108" t="n">
        <v>4</v>
      </c>
      <c r="F140" s="108" t="n">
        <v>3</v>
      </c>
      <c r="G140" s="108" t="n">
        <v>5</v>
      </c>
    </row>
    <row r="141">
      <c r="D141" s="106" t="inlineStr">
        <is>
          <t>역사로 탐구하는 현대 세계</t>
        </is>
      </c>
      <c r="E141" s="108" t="n">
        <v>4</v>
      </c>
      <c r="F141" s="108" t="n">
        <v>3</v>
      </c>
      <c r="G141" s="108" t="n">
        <v>5</v>
      </c>
    </row>
    <row r="142">
      <c r="D142" s="106" t="inlineStr">
        <is>
          <t>사회문제 탐구</t>
        </is>
      </c>
      <c r="E142" s="108" t="n">
        <v>4</v>
      </c>
      <c r="F142" s="108" t="n">
        <v>3</v>
      </c>
      <c r="G142" s="108" t="n">
        <v>5</v>
      </c>
    </row>
    <row r="143">
      <c r="D143" s="106" t="inlineStr">
        <is>
          <t>금융과 경제생활</t>
        </is>
      </c>
      <c r="E143" s="108" t="n">
        <v>4</v>
      </c>
      <c r="F143" s="108" t="n">
        <v>3</v>
      </c>
      <c r="G143" s="108" t="n">
        <v>5</v>
      </c>
    </row>
    <row r="144">
      <c r="D144" s="106" t="inlineStr">
        <is>
          <t>윤리문제 탐구</t>
        </is>
      </c>
      <c r="E144" s="108" t="n">
        <v>4</v>
      </c>
      <c r="F144" s="108" t="n">
        <v>3</v>
      </c>
      <c r="G144" s="108" t="n">
        <v>5</v>
      </c>
    </row>
    <row r="145">
      <c r="D145" s="106" t="inlineStr">
        <is>
          <t>기후변화와 지속가능한 세계</t>
        </is>
      </c>
      <c r="E145" s="108" t="n">
        <v>4</v>
      </c>
      <c r="F145" s="108" t="n">
        <v>3</v>
      </c>
      <c r="G145" s="108" t="n">
        <v>5</v>
      </c>
    </row>
    <row r="146">
      <c r="D146" s="106" t="inlineStr">
        <is>
          <t>과학의 역사와 문화</t>
        </is>
      </c>
      <c r="E146" s="108" t="n">
        <v>4</v>
      </c>
      <c r="F146" s="108" t="n">
        <v>3</v>
      </c>
      <c r="G146" s="108" t="n">
        <v>5</v>
      </c>
    </row>
    <row r="147">
      <c r="D147" s="106" t="inlineStr">
        <is>
          <t>기후변화와 환경생태</t>
        </is>
      </c>
      <c r="E147" s="108" t="n">
        <v>4</v>
      </c>
      <c r="F147" s="108" t="n">
        <v>3</v>
      </c>
      <c r="G147" s="108" t="n">
        <v>5</v>
      </c>
    </row>
    <row r="148">
      <c r="D148" s="106" t="inlineStr">
        <is>
          <t>융합과학 탐구</t>
        </is>
      </c>
      <c r="E148" s="108" t="n">
        <v>4</v>
      </c>
      <c r="F148" s="108" t="n">
        <v>3</v>
      </c>
      <c r="G148" s="108" t="n">
        <v>5</v>
      </c>
    </row>
    <row r="149">
      <c r="D149" s="106" t="inlineStr">
        <is>
          <t xml:space="preserve">스포츠 생활1 </t>
        </is>
      </c>
      <c r="E149" s="108" t="n">
        <v>3</v>
      </c>
      <c r="F149" s="108" t="n">
        <v>2</v>
      </c>
      <c r="G149" s="108" t="n">
        <v>4</v>
      </c>
    </row>
    <row r="150">
      <c r="D150" s="106" t="inlineStr">
        <is>
          <t xml:space="preserve">스포츠 생활2 </t>
        </is>
      </c>
      <c r="E150" s="108" t="n">
        <v>3</v>
      </c>
      <c r="F150" s="108" t="n">
        <v>2</v>
      </c>
      <c r="G150" s="108" t="n">
        <v>4</v>
      </c>
    </row>
    <row r="151">
      <c r="D151" s="106" t="inlineStr">
        <is>
          <t>음악과 미디어</t>
        </is>
      </c>
      <c r="E151" s="108" t="n">
        <v>3</v>
      </c>
      <c r="F151" s="108" t="n">
        <v>2</v>
      </c>
      <c r="G151" s="108" t="n">
        <v>4</v>
      </c>
    </row>
    <row r="152">
      <c r="D152" s="106" t="inlineStr">
        <is>
          <t>미술과 매체</t>
        </is>
      </c>
      <c r="E152" s="108" t="n">
        <v>3</v>
      </c>
      <c r="F152" s="108" t="n">
        <v>2</v>
      </c>
      <c r="G152" s="108" t="n">
        <v>4</v>
      </c>
    </row>
    <row r="153">
      <c r="D153" s="106" t="inlineStr">
        <is>
          <t>창의 공학 설계</t>
        </is>
      </c>
      <c r="E153" s="108" t="n">
        <v>4</v>
      </c>
      <c r="F153" s="108" t="n">
        <v>3</v>
      </c>
      <c r="G153" s="108" t="n">
        <v>5</v>
      </c>
    </row>
    <row r="154">
      <c r="D154" s="106" t="inlineStr">
        <is>
          <t>지식 재산 일반</t>
        </is>
      </c>
      <c r="E154" s="108" t="n">
        <v>4</v>
      </c>
      <c r="F154" s="108" t="n">
        <v>3</v>
      </c>
      <c r="G154" s="108" t="n">
        <v>5</v>
      </c>
    </row>
    <row r="155">
      <c r="D155" s="106" t="inlineStr">
        <is>
          <t xml:space="preserve">생애 설계와 자립 </t>
        </is>
      </c>
      <c r="E155" s="109" t="n">
        <v>2</v>
      </c>
      <c r="F155" s="109" t="n">
        <v>1</v>
      </c>
      <c r="G155" s="109" t="n">
        <v>2</v>
      </c>
    </row>
    <row r="156">
      <c r="D156" s="106" t="inlineStr">
        <is>
          <t>아동발달과 부모</t>
        </is>
      </c>
      <c r="E156" s="108" t="n">
        <v>4</v>
      </c>
      <c r="F156" s="108" t="n">
        <v>3</v>
      </c>
      <c r="G156" s="108" t="n">
        <v>5</v>
      </c>
    </row>
    <row r="157">
      <c r="D157" s="106" t="inlineStr">
        <is>
          <t>소프트웨어와 생활</t>
        </is>
      </c>
      <c r="E157" s="108" t="n">
        <v>4</v>
      </c>
      <c r="F157" s="108" t="n">
        <v>3</v>
      </c>
      <c r="G157" s="108" t="n">
        <v>5</v>
      </c>
    </row>
    <row r="158">
      <c r="D158" s="106" t="inlineStr">
        <is>
          <t>독일어권 문화</t>
        </is>
      </c>
      <c r="E158" s="108" t="n">
        <v>4</v>
      </c>
      <c r="F158" s="108" t="n">
        <v>3</v>
      </c>
      <c r="G158" s="108" t="n">
        <v>5</v>
      </c>
    </row>
    <row r="159">
      <c r="D159" s="106" t="inlineStr">
        <is>
          <t>프랑스어권 문화</t>
        </is>
      </c>
      <c r="E159" s="108" t="n">
        <v>4</v>
      </c>
      <c r="F159" s="108" t="n">
        <v>3</v>
      </c>
      <c r="G159" s="108" t="n">
        <v>5</v>
      </c>
    </row>
    <row r="160">
      <c r="D160" s="106" t="inlineStr">
        <is>
          <t>스페인어권 문화</t>
        </is>
      </c>
      <c r="E160" s="108" t="n">
        <v>4</v>
      </c>
      <c r="F160" s="108" t="n">
        <v>3</v>
      </c>
      <c r="G160" s="108" t="n">
        <v>5</v>
      </c>
    </row>
    <row r="161">
      <c r="D161" s="106" t="inlineStr">
        <is>
          <t xml:space="preserve">중국 문화 </t>
        </is>
      </c>
      <c r="E161" s="108" t="n">
        <v>4</v>
      </c>
      <c r="F161" s="108" t="n">
        <v>3</v>
      </c>
      <c r="G161" s="108" t="n">
        <v>5</v>
      </c>
    </row>
    <row r="162">
      <c r="D162" s="106" t="inlineStr">
        <is>
          <t>일본 문화</t>
        </is>
      </c>
      <c r="E162" s="108" t="n">
        <v>4</v>
      </c>
      <c r="F162" s="108" t="n">
        <v>3</v>
      </c>
      <c r="G162" s="108" t="n">
        <v>5</v>
      </c>
    </row>
    <row r="163">
      <c r="D163" s="106" t="inlineStr">
        <is>
          <t xml:space="preserve">러시아 문화 </t>
        </is>
      </c>
      <c r="E163" s="108" t="n">
        <v>4</v>
      </c>
      <c r="F163" s="108" t="n">
        <v>3</v>
      </c>
      <c r="G163" s="108" t="n">
        <v>5</v>
      </c>
    </row>
    <row r="164">
      <c r="D164" s="106" t="inlineStr">
        <is>
          <t>아랍 문화</t>
        </is>
      </c>
      <c r="E164" s="108" t="n">
        <v>4</v>
      </c>
      <c r="F164" s="108" t="n">
        <v>3</v>
      </c>
      <c r="G164" s="108" t="n">
        <v>5</v>
      </c>
    </row>
    <row r="165">
      <c r="D165" s="106" t="inlineStr">
        <is>
          <t>베트남 문화</t>
        </is>
      </c>
      <c r="E165" s="108" t="n">
        <v>4</v>
      </c>
      <c r="F165" s="108" t="n">
        <v>3</v>
      </c>
      <c r="G165" s="108" t="n">
        <v>5</v>
      </c>
    </row>
    <row r="166">
      <c r="D166" s="106" t="inlineStr">
        <is>
          <t>언어생활과 한자</t>
        </is>
      </c>
      <c r="E166" s="108" t="n">
        <v>4</v>
      </c>
      <c r="F166" s="108" t="n">
        <v>3</v>
      </c>
      <c r="G166" s="108" t="n">
        <v>5</v>
      </c>
    </row>
    <row r="167">
      <c r="D167" s="106" t="inlineStr">
        <is>
          <t xml:space="preserve">인간과 경제활동 </t>
        </is>
      </c>
      <c r="E167" s="108" t="n">
        <v>3</v>
      </c>
      <c r="F167" s="108" t="n">
        <v>2</v>
      </c>
      <c r="G167" s="108" t="n">
        <v>4</v>
      </c>
    </row>
    <row r="168">
      <c r="D168" s="106" t="inlineStr">
        <is>
          <t>논술</t>
        </is>
      </c>
      <c r="E168" s="108" t="n">
        <v>3</v>
      </c>
      <c r="F168" s="108" t="n">
        <v>2</v>
      </c>
      <c r="G168" s="108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2026-08-12T15:37:55Z</dcterms:modified>
  <cp:lastModifiedBy>이인재</cp:lastModifiedBy>
  <cp:lastPrinted>2025-05-20T01:43:42Z</cp:lastPrinted>
</cp:coreProperties>
</file>