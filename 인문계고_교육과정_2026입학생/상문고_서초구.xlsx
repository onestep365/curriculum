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6320" yWindow="-120" windowWidth="16440" windowHeight="28320" tabRatio="681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'2026입학생'!$A$1:$P$125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5">
    <xf numFmtId="0" fontId="0" fillId="0" borderId="0" pivotButton="0" quotePrefix="0" xfId="0"/>
    <xf numFmtId="0" fontId="0" fillId="0" borderId="74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2" fillId="0" borderId="32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49" fontId="12" fillId="0" borderId="18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49" fontId="12" fillId="0" borderId="22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49" fontId="12" fillId="0" borderId="57" applyAlignment="1" pivotButton="0" quotePrefix="0" xfId="0">
      <alignment horizontal="center" vertical="center" wrapText="1"/>
    </xf>
    <xf numFmtId="0" fontId="12" fillId="0" borderId="60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44" applyAlignment="1" pivotButton="0" quotePrefix="1" xfId="0">
      <alignment horizontal="center" vertical="center" wrapText="1"/>
    </xf>
    <xf numFmtId="0" fontId="12" fillId="0" borderId="28" applyAlignment="1" pivotButton="0" quotePrefix="1" xfId="0">
      <alignment horizontal="center" vertical="center" wrapText="1"/>
    </xf>
    <xf numFmtId="0" fontId="12" fillId="0" borderId="40" applyAlignment="1" pivotButton="0" quotePrefix="1" xfId="0">
      <alignment horizontal="center" vertical="center" wrapText="1"/>
    </xf>
    <xf numFmtId="0" fontId="12" fillId="0" borderId="29" applyAlignment="1" pivotButton="0" quotePrefix="1" xfId="0">
      <alignment horizontal="center" vertical="center" wrapText="1"/>
    </xf>
    <xf numFmtId="49" fontId="12" fillId="0" borderId="16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2" fillId="0" borderId="43" applyAlignment="1" pivotButton="0" quotePrefix="1" xfId="0">
      <alignment horizontal="center" vertical="center" wrapText="1"/>
    </xf>
    <xf numFmtId="0" fontId="12" fillId="2" borderId="44" applyAlignment="1" pivotButton="0" quotePrefix="0" xfId="0">
      <alignment horizontal="center" vertical="center" wrapText="1"/>
    </xf>
    <xf numFmtId="0" fontId="12" fillId="2" borderId="28" applyAlignment="1" pivotButton="0" quotePrefix="0" xfId="0">
      <alignment horizontal="center" vertical="center" wrapText="1"/>
    </xf>
    <xf numFmtId="0" fontId="12" fillId="0" borderId="39" applyAlignment="1" pivotButton="0" quotePrefix="1" xfId="0">
      <alignment horizontal="center" vertical="center" wrapText="1"/>
    </xf>
    <xf numFmtId="0" fontId="12" fillId="2" borderId="69" applyAlignment="1" pivotButton="0" quotePrefix="0" xfId="0">
      <alignment horizontal="center" vertical="center" wrapText="1"/>
    </xf>
    <xf numFmtId="0" fontId="12" fillId="2" borderId="40" applyAlignment="1" pivotButton="0" quotePrefix="0" xfId="0">
      <alignment horizontal="center" vertical="center" wrapText="1"/>
    </xf>
    <xf numFmtId="0" fontId="12" fillId="2" borderId="29" applyAlignment="1" pivotButton="0" quotePrefix="0" xfId="0">
      <alignment horizontal="center" vertical="center" wrapText="1"/>
    </xf>
    <xf numFmtId="0" fontId="11" fillId="2" borderId="70" applyAlignment="1" pivotButton="0" quotePrefix="0" xfId="0">
      <alignment horizontal="center" vertical="center" wrapText="1"/>
    </xf>
    <xf numFmtId="0" fontId="11" fillId="2" borderId="42" applyAlignment="1" pivotButton="0" quotePrefix="0" xfId="0">
      <alignment horizontal="center" vertical="center" wrapText="1"/>
    </xf>
    <xf numFmtId="0" fontId="11" fillId="2" borderId="27" applyAlignment="1" pivotButton="0" quotePrefix="0" xfId="0">
      <alignment horizontal="center" vertical="center" wrapText="1"/>
    </xf>
    <xf numFmtId="0" fontId="12" fillId="0" borderId="99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 wrapText="1"/>
    </xf>
    <xf numFmtId="0" fontId="12" fillId="2" borderId="32" applyAlignment="1" pivotButton="0" quotePrefix="0" xfId="0">
      <alignment horizontal="center" vertical="center" wrapText="1"/>
    </xf>
    <xf numFmtId="0" fontId="12" fillId="2" borderId="19" applyAlignment="1" pivotButton="0" quotePrefix="0" xfId="0">
      <alignment horizontal="center" vertical="center" wrapText="1"/>
    </xf>
    <xf numFmtId="0" fontId="11" fillId="2" borderId="58" applyAlignment="1" pivotButton="0" quotePrefix="0" xfId="0">
      <alignment horizontal="center" vertical="center" wrapText="1"/>
    </xf>
    <xf numFmtId="0" fontId="11" fillId="2" borderId="60" applyAlignment="1" pivotButton="0" quotePrefix="0" xfId="0">
      <alignment horizontal="center" vertical="center" wrapText="1"/>
    </xf>
    <xf numFmtId="0" fontId="11" fillId="2" borderId="61" applyAlignment="1" pivotButton="0" quotePrefix="0" xfId="0">
      <alignment horizontal="center" vertical="center" wrapText="1"/>
    </xf>
    <xf numFmtId="0" fontId="12" fillId="2" borderId="42" applyAlignment="1" pivotButton="0" quotePrefix="0" xfId="0">
      <alignment horizontal="center" vertical="center" wrapText="1"/>
    </xf>
    <xf numFmtId="0" fontId="12" fillId="2" borderId="71" applyAlignment="1" pivotButton="0" quotePrefix="0" xfId="0">
      <alignment horizontal="center" vertical="center" wrapText="1"/>
    </xf>
    <xf numFmtId="0" fontId="12" fillId="0" borderId="95" applyAlignment="1" pivotButton="0" quotePrefix="0" xfId="0">
      <alignment horizontal="center" vertical="center" wrapText="1"/>
    </xf>
    <xf numFmtId="0" fontId="12" fillId="0" borderId="72" applyAlignment="1" pivotButton="0" quotePrefix="0" xfId="0">
      <alignment horizontal="center" vertical="center" wrapText="1"/>
    </xf>
    <xf numFmtId="0" fontId="12" fillId="0" borderId="73" applyAlignment="1" pivotButton="0" quotePrefix="0" xfId="0">
      <alignment horizontal="center" vertical="center" wrapText="1"/>
    </xf>
    <xf numFmtId="0" fontId="12" fillId="0" borderId="97" applyAlignment="1" pivotButton="0" quotePrefix="0" xfId="0">
      <alignment horizontal="center" vertical="center" wrapText="1"/>
    </xf>
    <xf numFmtId="0" fontId="12" fillId="2" borderId="85" applyAlignment="1" pivotButton="0" quotePrefix="0" xfId="0">
      <alignment horizontal="center" vertical="center" wrapText="1"/>
    </xf>
    <xf numFmtId="0" fontId="12" fillId="0" borderId="97" applyAlignment="1" pivotButton="0" quotePrefix="1" xfId="0">
      <alignment horizontal="center" vertical="center" wrapText="1"/>
    </xf>
    <xf numFmtId="0" fontId="12" fillId="0" borderId="98" applyAlignment="1" pivotButton="0" quotePrefix="0" xfId="0">
      <alignment horizontal="center" vertical="center" wrapText="1"/>
    </xf>
    <xf numFmtId="0" fontId="12" fillId="0" borderId="91" applyAlignment="1" pivotButton="0" quotePrefix="0" xfId="0">
      <alignment horizontal="center" vertical="center" wrapText="1"/>
    </xf>
    <xf numFmtId="0" fontId="12" fillId="0" borderId="9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49" fontId="5" fillId="0" borderId="22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5" fillId="0" borderId="48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5" fillId="0" borderId="60" applyAlignment="1" pivotButton="0" quotePrefix="0" xfId="0">
      <alignment horizontal="center" vertical="center" wrapText="1"/>
    </xf>
    <xf numFmtId="0" fontId="5" fillId="0" borderId="59" applyAlignment="1" pivotButton="0" quotePrefix="0" xfId="0">
      <alignment horizontal="center" vertical="center" wrapText="1"/>
    </xf>
    <xf numFmtId="0" fontId="5" fillId="0" borderId="44" applyAlignment="1" pivotButton="0" quotePrefix="1" xfId="0">
      <alignment horizontal="center" vertical="center" wrapText="1"/>
    </xf>
    <xf numFmtId="0" fontId="5" fillId="0" borderId="28" applyAlignment="1" pivotButton="0" quotePrefix="1" xfId="0">
      <alignment horizontal="center" vertical="center" wrapText="1"/>
    </xf>
    <xf numFmtId="0" fontId="5" fillId="0" borderId="40" applyAlignment="1" pivotButton="0" quotePrefix="1" xfId="0">
      <alignment horizontal="center" vertical="center" wrapText="1"/>
    </xf>
    <xf numFmtId="0" fontId="5" fillId="0" borderId="29" applyAlignment="1" pivotButton="0" quotePrefix="1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shrinkToFit="1"/>
    </xf>
    <xf numFmtId="0" fontId="13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49" fontId="15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shrinkToFit="1"/>
    </xf>
    <xf numFmtId="49" fontId="14" fillId="2" borderId="2" applyAlignment="1" pivotButton="0" quotePrefix="0" xfId="0">
      <alignment horizontal="center" vertical="center" shrinkToFit="1"/>
    </xf>
    <xf numFmtId="49" fontId="15" fillId="2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49" fontId="15" fillId="9" borderId="2" applyAlignment="1" pivotButton="0" quotePrefix="0" xfId="0">
      <alignment horizontal="center" vertical="center" shrinkToFit="1"/>
    </xf>
    <xf numFmtId="0" fontId="13" fillId="9" borderId="2" applyAlignment="1" pivotButton="0" quotePrefix="0" xfId="0">
      <alignment horizontal="center" vertical="center" shrinkToFit="1"/>
    </xf>
    <xf numFmtId="0" fontId="16" fillId="9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wrapText="1" shrinkToFit="1"/>
    </xf>
    <xf numFmtId="49" fontId="5" fillId="0" borderId="57" applyAlignment="1" pivotButton="0" quotePrefix="0" xfId="0">
      <alignment horizontal="center" vertical="center" wrapText="1"/>
    </xf>
    <xf numFmtId="49" fontId="5" fillId="0" borderId="20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80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6" applyAlignment="1" pivotButton="0" quotePrefix="0" xfId="0">
      <alignment horizontal="center" vertical="center" wrapText="1"/>
    </xf>
    <xf numFmtId="49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5" fillId="2" borderId="31" applyAlignment="1" pivotButton="0" quotePrefix="0" xfId="0">
      <alignment horizontal="center" vertical="center" wrapText="1"/>
    </xf>
    <xf numFmtId="0" fontId="5" fillId="2" borderId="86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12" fillId="2" borderId="21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49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48" applyAlignment="1" pivotButton="0" quotePrefix="0" xfId="0">
      <alignment horizontal="center" vertical="center" wrapText="1"/>
    </xf>
    <xf numFmtId="0" fontId="5" fillId="2" borderId="44" applyAlignment="1" pivotButton="0" quotePrefix="0" xfId="0">
      <alignment horizontal="center" vertical="center" wrapText="1"/>
    </xf>
    <xf numFmtId="0" fontId="5" fillId="2" borderId="40" applyAlignment="1" pivotButton="0" quotePrefix="0" xfId="0">
      <alignment horizontal="center" vertical="center" wrapText="1"/>
    </xf>
    <xf numFmtId="0" fontId="5" fillId="2" borderId="42" applyAlignment="1" pivotButton="0" quotePrefix="0" xfId="0">
      <alignment horizontal="center" vertical="center" wrapText="1"/>
    </xf>
    <xf numFmtId="0" fontId="12" fillId="2" borderId="58" applyAlignment="1" pivotButton="0" quotePrefix="0" xfId="0">
      <alignment horizontal="center" vertical="center" wrapText="1"/>
    </xf>
    <xf numFmtId="0" fontId="12" fillId="2" borderId="19" applyAlignment="1" pivotButton="0" quotePrefix="1" xfId="0">
      <alignment horizontal="center" vertical="center" wrapText="1"/>
    </xf>
    <xf numFmtId="0" fontId="12" fillId="2" borderId="21" applyAlignment="1" pivotButton="0" quotePrefix="1" xfId="0">
      <alignment horizontal="center" vertical="center" wrapText="1"/>
    </xf>
    <xf numFmtId="0" fontId="12" fillId="2" borderId="23" applyAlignment="1" pivotButton="0" quotePrefix="1" xfId="0">
      <alignment horizontal="center" vertical="center" wrapText="1"/>
    </xf>
    <xf numFmtId="0" fontId="5" fillId="2" borderId="39" applyAlignment="1" pivotButton="0" quotePrefix="0" xfId="0">
      <alignment horizontal="center" vertical="center" wrapText="1"/>
    </xf>
    <xf numFmtId="0" fontId="5" fillId="2" borderId="43" applyAlignment="1" pivotButton="0" quotePrefix="0" xfId="0">
      <alignment horizontal="center" vertical="center" wrapText="1"/>
    </xf>
    <xf numFmtId="0" fontId="5" fillId="2" borderId="41" applyAlignment="1" pivotButton="0" quotePrefix="0" xfId="0">
      <alignment horizontal="center" vertical="center" wrapText="1"/>
    </xf>
    <xf numFmtId="0" fontId="5" fillId="2" borderId="47" applyAlignment="1" pivotButton="0" quotePrefix="0" xfId="0">
      <alignment horizontal="center" vertical="center" wrapText="1"/>
    </xf>
    <xf numFmtId="0" fontId="12" fillId="2" borderId="43" applyAlignment="1" pivotButton="0" quotePrefix="0" xfId="0">
      <alignment horizontal="center" vertical="center" wrapText="1"/>
    </xf>
    <xf numFmtId="0" fontId="12" fillId="2" borderId="39" applyAlignment="1" pivotButton="0" quotePrefix="0" xfId="0">
      <alignment horizontal="center" vertical="center" wrapText="1"/>
    </xf>
    <xf numFmtId="0" fontId="12" fillId="2" borderId="41" applyAlignment="1" pivotButton="0" quotePrefix="0" xfId="0">
      <alignment horizontal="center" vertical="center" wrapText="1"/>
    </xf>
    <xf numFmtId="0" fontId="12" fillId="2" borderId="37" applyAlignment="1" pivotButton="0" quotePrefix="0" xfId="0">
      <alignment horizontal="center" vertical="center" wrapText="1"/>
    </xf>
    <xf numFmtId="0" fontId="12" fillId="2" borderId="47" applyAlignment="1" pivotButton="0" quotePrefix="0" xfId="0">
      <alignment horizontal="center" vertical="center" wrapText="1"/>
    </xf>
    <xf numFmtId="0" fontId="12" fillId="2" borderId="43" applyAlignment="1" pivotButton="0" quotePrefix="1" xfId="0">
      <alignment horizontal="center" vertical="center" wrapText="1"/>
    </xf>
    <xf numFmtId="0" fontId="12" fillId="2" borderId="39" applyAlignment="1" pivotButton="0" quotePrefix="1" xfId="0">
      <alignment horizontal="center" vertical="center" wrapText="1"/>
    </xf>
    <xf numFmtId="0" fontId="12" fillId="2" borderId="41" applyAlignment="1" pivotButton="0" quotePrefix="1" xfId="0">
      <alignment horizontal="center" vertical="center" wrapText="1"/>
    </xf>
    <xf numFmtId="0" fontId="12" fillId="2" borderId="59" applyAlignment="1" pivotButton="0" quotePrefix="1" xfId="0">
      <alignment horizontal="center" vertical="center" wrapText="1"/>
    </xf>
    <xf numFmtId="0" fontId="3" fillId="3" borderId="106" applyAlignment="1" pivotButton="0" quotePrefix="0" xfId="0">
      <alignment horizontal="center" vertical="center" wrapText="1"/>
    </xf>
    <xf numFmtId="0" fontId="9" fillId="3" borderId="105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95" applyAlignment="1" pivotButton="0" quotePrefix="0" xfId="0">
      <alignment horizontal="center" vertical="center" wrapText="1"/>
    </xf>
    <xf numFmtId="0" fontId="5" fillId="2" borderId="96" applyAlignment="1" pivotButton="0" quotePrefix="0" xfId="0">
      <alignment horizontal="center" vertical="center" wrapText="1"/>
    </xf>
    <xf numFmtId="0" fontId="5" fillId="2" borderId="85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12" fillId="0" borderId="108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shrinkToFit="1"/>
    </xf>
    <xf numFmtId="0" fontId="13" fillId="10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49" fontId="5" fillId="0" borderId="29" applyAlignment="1" pivotButton="0" quotePrefix="0" xfId="0">
      <alignment horizontal="center" vertical="center" wrapText="1"/>
    </xf>
    <xf numFmtId="49" fontId="5" fillId="0" borderId="61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49" fontId="5" fillId="0" borderId="24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62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6" applyAlignment="1" pivotButton="0" quotePrefix="0" xfId="0">
      <alignment horizontal="center" vertical="center" wrapText="1"/>
    </xf>
    <xf numFmtId="0" fontId="5" fillId="0" borderId="92" applyAlignment="1" pivotButton="0" quotePrefix="0" xfId="0">
      <alignment horizontal="center" vertical="center" wrapText="1"/>
    </xf>
    <xf numFmtId="49" fontId="5" fillId="0" borderId="30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49" fontId="5" fillId="0" borderId="20" applyAlignment="1" pivotButton="0" quotePrefix="0" xfId="0">
      <alignment horizontal="center" vertical="center" shrinkToFit="1"/>
    </xf>
    <xf numFmtId="49" fontId="5" fillId="0" borderId="61" applyAlignment="1" pivotButton="0" quotePrefix="0" xfId="0">
      <alignment horizontal="center" vertical="center" shrinkToFit="1"/>
    </xf>
    <xf numFmtId="0" fontId="5" fillId="0" borderId="22" applyAlignment="1" pivotButton="0" quotePrefix="0" xfId="0">
      <alignment horizontal="center" vertical="center" shrinkToFit="1"/>
    </xf>
    <xf numFmtId="49" fontId="5" fillId="0" borderId="22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49" fontId="5" fillId="0" borderId="24" applyAlignment="1" pivotButton="0" quotePrefix="0" xfId="0">
      <alignment horizontal="center" vertical="center" shrinkToFit="1"/>
    </xf>
    <xf numFmtId="49" fontId="12" fillId="0" borderId="18" applyAlignment="1" pivotButton="0" quotePrefix="0" xfId="0">
      <alignment horizontal="center" vertical="center" shrinkToFit="1"/>
    </xf>
    <xf numFmtId="49" fontId="12" fillId="0" borderId="22" applyAlignment="1" pivotButton="0" quotePrefix="0" xfId="0">
      <alignment horizontal="center" vertical="center" shrinkToFit="1"/>
    </xf>
    <xf numFmtId="49" fontId="12" fillId="0" borderId="16" applyAlignment="1" pivotButton="0" quotePrefix="0" xfId="0">
      <alignment horizontal="center" vertical="center" shrinkToFit="1"/>
    </xf>
    <xf numFmtId="0" fontId="5" fillId="0" borderId="8" applyAlignment="1" pivotButton="0" quotePrefix="0" xfId="0">
      <alignment horizontal="center" vertical="center" shrinkToFit="1"/>
    </xf>
    <xf numFmtId="0" fontId="5" fillId="2" borderId="60" applyAlignment="1" pivotButton="0" quotePrefix="0" xfId="0">
      <alignment horizontal="center" vertical="center" wrapText="1"/>
    </xf>
    <xf numFmtId="0" fontId="5" fillId="2" borderId="59" applyAlignment="1" pivotButton="0" quotePrefix="0" xfId="0">
      <alignment horizontal="center" vertical="center" wrapText="1"/>
    </xf>
    <xf numFmtId="0" fontId="12" fillId="2" borderId="49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center" vertical="center" wrapText="1"/>
    </xf>
    <xf numFmtId="0" fontId="5" fillId="2" borderId="38" applyAlignment="1" pivotButton="0" quotePrefix="0" xfId="0">
      <alignment horizontal="center" vertical="center" wrapText="1"/>
    </xf>
    <xf numFmtId="0" fontId="5" fillId="2" borderId="37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shrinkToFit="1"/>
    </xf>
    <xf numFmtId="0" fontId="13" fillId="2" borderId="0" applyAlignment="1" pivotButton="0" quotePrefix="0" xfId="0">
      <alignment horizontal="center" vertical="center" shrinkToFit="1"/>
    </xf>
    <xf numFmtId="49" fontId="5" fillId="0" borderId="19" applyAlignment="1" pivotButton="0" quotePrefix="0" xfId="0">
      <alignment horizontal="center" vertical="center" wrapText="1"/>
    </xf>
    <xf numFmtId="0" fontId="5" fillId="2" borderId="28" applyAlignment="1" pivotButton="0" quotePrefix="0" xfId="0">
      <alignment horizontal="center" vertical="center" wrapText="1"/>
    </xf>
    <xf numFmtId="0" fontId="12" fillId="2" borderId="96" applyAlignment="1" pivotButton="0" quotePrefix="0" xfId="0">
      <alignment horizontal="center" vertical="center" wrapText="1"/>
    </xf>
    <xf numFmtId="0" fontId="5" fillId="2" borderId="84" applyAlignment="1" pivotButton="0" quotePrefix="0" xfId="0">
      <alignment horizontal="center" vertical="center" wrapText="1"/>
    </xf>
    <xf numFmtId="0" fontId="12" fillId="0" borderId="79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12" fillId="2" borderId="49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96" applyAlignment="1" pivotButton="0" quotePrefix="0" xfId="0">
      <alignment horizontal="center" vertical="center" wrapText="1"/>
    </xf>
    <xf numFmtId="0" fontId="12" fillId="0" borderId="85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shrinkToFit="1"/>
    </xf>
    <xf numFmtId="0" fontId="5" fillId="2" borderId="32" applyAlignment="1" pivotButton="0" quotePrefix="0" xfId="0">
      <alignment horizontal="center" vertical="center" wrapText="1"/>
    </xf>
    <xf numFmtId="0" fontId="12" fillId="2" borderId="47" applyAlignment="1" pivotButton="0" quotePrefix="1" xfId="0">
      <alignment horizontal="center" vertical="center" wrapText="1"/>
    </xf>
    <xf numFmtId="0" fontId="12" fillId="2" borderId="83" applyAlignment="1" pivotButton="0" quotePrefix="0" xfId="0">
      <alignment horizontal="center" vertical="center" wrapText="1"/>
    </xf>
    <xf numFmtId="0" fontId="12" fillId="2" borderId="48" applyAlignment="1" pivotButton="0" quotePrefix="0" xfId="0">
      <alignment horizontal="center" vertical="center" wrapText="1"/>
    </xf>
    <xf numFmtId="0" fontId="12" fillId="2" borderId="31" applyAlignment="1" pivotButton="0" quotePrefix="0" xfId="0">
      <alignment horizontal="center" vertical="center" wrapText="1"/>
    </xf>
    <xf numFmtId="49" fontId="12" fillId="0" borderId="30" applyAlignment="1" pivotButton="0" quotePrefix="0" xfId="0">
      <alignment horizontal="center" vertical="center" shrinkToFit="1"/>
    </xf>
    <xf numFmtId="49" fontId="5" fillId="0" borderId="31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shrinkToFit="1"/>
    </xf>
    <xf numFmtId="0" fontId="5" fillId="2" borderId="87" applyAlignment="1" pivotButton="0" quotePrefix="0" xfId="0">
      <alignment horizontal="center" vertical="center" wrapText="1"/>
    </xf>
    <xf numFmtId="0" fontId="5" fillId="2" borderId="112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5" fillId="2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45" applyAlignment="1" pivotButton="0" quotePrefix="0" xfId="0">
      <alignment horizontal="center" vertical="center" wrapText="1"/>
    </xf>
    <xf numFmtId="0" fontId="5" fillId="0" borderId="87" applyAlignment="1" pivotButton="0" quotePrefix="0" xfId="0">
      <alignment horizontal="center" vertical="center" wrapText="1"/>
    </xf>
    <xf numFmtId="49" fontId="5" fillId="0" borderId="87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center" vertical="center" wrapText="1"/>
    </xf>
    <xf numFmtId="49" fontId="5" fillId="0" borderId="30" applyAlignment="1" pivotButton="0" quotePrefix="0" xfId="0">
      <alignment horizontal="center" vertical="center" wrapText="1"/>
    </xf>
    <xf numFmtId="49" fontId="12" fillId="0" borderId="30" applyAlignment="1" pivotButton="0" quotePrefix="0" xfId="0">
      <alignment horizontal="center" vertical="center" wrapText="1"/>
    </xf>
    <xf numFmtId="0" fontId="12" fillId="0" borderId="113" applyAlignment="1" pivotButton="0" quotePrefix="0" xfId="0">
      <alignment horizontal="center" vertical="center" wrapText="1"/>
    </xf>
    <xf numFmtId="49" fontId="12" fillId="0" borderId="24" applyAlignment="1" pivotButton="0" quotePrefix="0" xfId="0">
      <alignment horizontal="center" vertical="center" shrinkToFit="1"/>
    </xf>
    <xf numFmtId="49" fontId="5" fillId="0" borderId="8" applyAlignment="1" pivotButton="0" quotePrefix="0" xfId="0">
      <alignment horizontal="center" vertical="center" shrinkToFit="1"/>
    </xf>
    <xf numFmtId="49" fontId="5" fillId="0" borderId="15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 wrapText="1"/>
    </xf>
    <xf numFmtId="0" fontId="12" fillId="0" borderId="96" applyAlignment="1" pivotButton="0" quotePrefix="1" xfId="0">
      <alignment horizontal="center" vertical="center" wrapText="1"/>
    </xf>
    <xf numFmtId="0" fontId="12" fillId="0" borderId="85" applyAlignment="1" pivotButton="0" quotePrefix="1" xfId="0">
      <alignment horizontal="center" vertical="center" wrapText="1"/>
    </xf>
    <xf numFmtId="49" fontId="12" fillId="0" borderId="26" applyAlignment="1" pivotButton="0" quotePrefix="0" xfId="0">
      <alignment horizontal="center" vertical="center" shrinkToFit="1"/>
    </xf>
    <xf numFmtId="49" fontId="12" fillId="0" borderId="28" applyAlignment="1" pivotButton="0" quotePrefix="0" xfId="0">
      <alignment horizontal="center" vertical="center" shrinkToFit="1"/>
    </xf>
    <xf numFmtId="49" fontId="12" fillId="0" borderId="29" applyAlignment="1" pivotButton="0" quotePrefix="0" xfId="0">
      <alignment horizontal="center" vertical="center" shrinkToFit="1"/>
    </xf>
    <xf numFmtId="49" fontId="5" fillId="0" borderId="15" applyAlignment="1" pivotButton="0" quotePrefix="0" xfId="0">
      <alignment horizontal="center" vertical="center" shrinkToFit="1"/>
    </xf>
    <xf numFmtId="0" fontId="12" fillId="0" borderId="98" applyAlignment="1" pivotButton="0" quotePrefix="1" xfId="0">
      <alignment horizontal="center" vertical="center" wrapText="1"/>
    </xf>
    <xf numFmtId="0" fontId="12" fillId="0" borderId="86" applyAlignment="1" pivotButton="0" quotePrefix="0" xfId="0">
      <alignment horizontal="center" vertical="center" wrapText="1"/>
    </xf>
    <xf numFmtId="0" fontId="12" fillId="4" borderId="56" applyAlignment="1" pivotButton="0" quotePrefix="0" xfId="0">
      <alignment vertical="center" wrapText="1"/>
    </xf>
    <xf numFmtId="0" fontId="12" fillId="0" borderId="20" applyAlignment="1" pivotButton="0" quotePrefix="0" xfId="0">
      <alignment horizontal="center" vertical="center" wrapText="1"/>
    </xf>
    <xf numFmtId="49" fontId="12" fillId="0" borderId="111" applyAlignment="1" pivotButton="0" quotePrefix="0" xfId="0">
      <alignment horizontal="center" vertical="center" wrapText="1"/>
    </xf>
    <xf numFmtId="0" fontId="5" fillId="0" borderId="111" applyAlignment="1" pivotButton="0" quotePrefix="0" xfId="0">
      <alignment horizontal="center" vertical="center" shrinkToFit="1"/>
    </xf>
    <xf numFmtId="0" fontId="5" fillId="2" borderId="110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111" applyAlignment="1" pivotButton="0" quotePrefix="0" xfId="0">
      <alignment horizontal="center" vertical="center" wrapText="1"/>
    </xf>
    <xf numFmtId="0" fontId="12" fillId="2" borderId="114" applyAlignment="1" pivotButton="0" quotePrefix="0" xfId="0">
      <alignment horizontal="center" vertical="center" wrapText="1"/>
    </xf>
    <xf numFmtId="0" fontId="12" fillId="2" borderId="77" applyAlignment="1" pivotButton="0" quotePrefix="0" xfId="0">
      <alignment horizontal="center" vertical="center" wrapText="1"/>
    </xf>
    <xf numFmtId="0" fontId="12" fillId="0" borderId="115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49" fontId="12" fillId="0" borderId="110" applyAlignment="1" pivotButton="0" quotePrefix="0" xfId="0">
      <alignment horizontal="center" vertical="center" shrinkToFit="1"/>
    </xf>
    <xf numFmtId="49" fontId="5" fillId="0" borderId="111" applyAlignment="1" pivotButton="0" quotePrefix="0" xfId="0">
      <alignment horizontal="center" vertical="center" shrinkToFit="1"/>
    </xf>
    <xf numFmtId="0" fontId="12" fillId="2" borderId="35" applyAlignment="1" pivotButton="0" quotePrefix="0" xfId="0">
      <alignment horizontal="center" vertical="center" wrapText="1"/>
    </xf>
    <xf numFmtId="0" fontId="12" fillId="0" borderId="78" applyAlignment="1" pivotButton="0" quotePrefix="0" xfId="0">
      <alignment horizontal="center" vertical="center" wrapText="1"/>
    </xf>
    <xf numFmtId="0" fontId="12" fillId="0" borderId="116" applyAlignment="1" pivotButton="0" quotePrefix="0" xfId="0">
      <alignment horizontal="center" vertical="center" wrapText="1"/>
    </xf>
    <xf numFmtId="49" fontId="12" fillId="0" borderId="2" applyAlignment="1" pivotButton="0" quotePrefix="0" xfId="0">
      <alignment horizontal="center" vertical="center" shrinkToFit="1"/>
    </xf>
    <xf numFmtId="0" fontId="5" fillId="2" borderId="7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shrinkToFit="1"/>
    </xf>
    <xf numFmtId="49" fontId="5" fillId="0" borderId="8" applyAlignment="1" pivotButton="0" quotePrefix="0" xfId="0">
      <alignment horizontal="center" vertical="center" wrapText="1"/>
    </xf>
    <xf numFmtId="0" fontId="12" fillId="0" borderId="117" applyAlignment="1" pivotButton="0" quotePrefix="0" xfId="0">
      <alignment horizontal="center" vertical="center" wrapText="1"/>
    </xf>
    <xf numFmtId="0" fontId="12" fillId="0" borderId="110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shrinkToFit="1"/>
    </xf>
    <xf numFmtId="0" fontId="12" fillId="2" borderId="4" applyAlignment="1" pivotButton="0" quotePrefix="0" xfId="0">
      <alignment horizontal="center" vertical="center" wrapText="1"/>
    </xf>
    <xf numFmtId="0" fontId="12" fillId="2" borderId="22" applyAlignment="1" pivotButton="0" quotePrefix="0" xfId="0">
      <alignment horizontal="center" vertical="center" wrapText="1"/>
    </xf>
    <xf numFmtId="49" fontId="12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shrinkToFit="1"/>
    </xf>
    <xf numFmtId="0" fontId="12" fillId="0" borderId="83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shrinkToFit="1"/>
    </xf>
    <xf numFmtId="0" fontId="5" fillId="2" borderId="30" applyAlignment="1" pivotButton="0" quotePrefix="0" xfId="0">
      <alignment horizontal="center" vertical="center" wrapText="1"/>
    </xf>
    <xf numFmtId="49" fontId="5" fillId="0" borderId="96" applyAlignment="1" pivotButton="0" quotePrefix="0" xfId="0">
      <alignment horizontal="center" vertical="center" wrapText="1"/>
    </xf>
    <xf numFmtId="49" fontId="5" fillId="0" borderId="85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 wrapText="1"/>
    </xf>
    <xf numFmtId="49" fontId="5" fillId="0" borderId="118" applyAlignment="1" pivotButton="0" quotePrefix="0" xfId="0">
      <alignment horizontal="center" vertical="center" wrapText="1"/>
    </xf>
    <xf numFmtId="49" fontId="5" fillId="0" borderId="23" applyAlignment="1" pivotButton="0" quotePrefix="0" xfId="0">
      <alignment horizontal="center" vertical="center" wrapText="1"/>
    </xf>
    <xf numFmtId="49" fontId="5" fillId="0" borderId="32" applyAlignment="1" pivotButton="0" quotePrefix="0" xfId="0">
      <alignment horizontal="center" vertical="center" wrapText="1"/>
    </xf>
    <xf numFmtId="49" fontId="5" fillId="0" borderId="86" applyAlignment="1" pivotButton="0" quotePrefix="0" xfId="0">
      <alignment horizontal="center" vertical="center" wrapText="1"/>
    </xf>
    <xf numFmtId="0" fontId="12" fillId="0" borderId="119" applyAlignment="1" pivotButton="0" quotePrefix="0" xfId="0">
      <alignment horizontal="center" vertical="center" wrapText="1"/>
    </xf>
    <xf numFmtId="0" fontId="12" fillId="0" borderId="87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101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12" fillId="5" borderId="11" applyAlignment="1" pivotButton="0" quotePrefix="0" xfId="0">
      <alignment horizontal="center" vertical="center" wrapText="1"/>
    </xf>
    <xf numFmtId="0" fontId="12" fillId="5" borderId="75" applyAlignment="1" pivotButton="0" quotePrefix="0" xfId="0">
      <alignment horizontal="center" vertical="center" wrapText="1"/>
    </xf>
    <xf numFmtId="0" fontId="12" fillId="4" borderId="54" applyAlignment="1" pivotButton="0" quotePrefix="0" xfId="0">
      <alignment horizontal="center" vertical="center" wrapText="1"/>
    </xf>
    <xf numFmtId="0" fontId="12" fillId="4" borderId="56" applyAlignment="1" pivotButton="0" quotePrefix="0" xfId="0">
      <alignment horizontal="center" vertical="center" wrapText="1"/>
    </xf>
    <xf numFmtId="0" fontId="2" fillId="0" borderId="56" applyAlignment="1" pivotButton="0" quotePrefix="0" xfId="0">
      <alignment horizontal="center" vertical="center" wrapText="1"/>
    </xf>
    <xf numFmtId="0" fontId="2" fillId="0" borderId="10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62" applyAlignment="1" pivotButton="0" quotePrefix="0" xfId="0">
      <alignment horizontal="center" vertical="center" wrapText="1"/>
    </xf>
    <xf numFmtId="0" fontId="5" fillId="0" borderId="11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110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12" fillId="0" borderId="111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1" fillId="0" borderId="53" applyAlignment="1" pivotButton="0" quotePrefix="0" xfId="0">
      <alignment horizontal="center" vertical="center" wrapText="1"/>
    </xf>
    <xf numFmtId="0" fontId="11" fillId="0" borderId="55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12" fillId="0" borderId="80" applyAlignment="1" pivotButton="0" quotePrefix="0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12" fillId="0" borderId="68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104" applyAlignment="1" pivotButton="0" quotePrefix="0" xfId="0">
      <alignment horizontal="center" vertical="center" wrapText="1"/>
    </xf>
    <xf numFmtId="0" fontId="12" fillId="0" borderId="102" applyAlignment="1" pivotButton="0" quotePrefix="0" xfId="0">
      <alignment horizontal="center" vertical="center" wrapText="1"/>
    </xf>
    <xf numFmtId="0" fontId="12" fillId="0" borderId="103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110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63" applyAlignment="1" pivotButton="0" quotePrefix="0" xfId="0">
      <alignment horizontal="center" vertical="center" wrapText="1"/>
    </xf>
    <xf numFmtId="0" fontId="3" fillId="3" borderId="78" applyAlignment="1" pivotButton="0" quotePrefix="0" xfId="0">
      <alignment horizontal="center" vertical="center" wrapText="1"/>
    </xf>
    <xf numFmtId="0" fontId="3" fillId="3" borderId="65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111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2" fillId="2" borderId="8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 wrapText="1"/>
    </xf>
    <xf numFmtId="0" fontId="12" fillId="2" borderId="111" applyAlignment="1" pivotButton="0" quotePrefix="0" xfId="0">
      <alignment horizontal="center" vertical="center" wrapText="1"/>
    </xf>
    <xf numFmtId="0" fontId="2" fillId="0" borderId="111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2" fillId="0" borderId="64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109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107" applyAlignment="1" pivotButton="0" quotePrefix="0" xfId="0">
      <alignment horizontal="center" vertical="center" wrapText="1"/>
    </xf>
    <xf numFmtId="0" fontId="12" fillId="0" borderId="93" applyAlignment="1" pivotButton="0" quotePrefix="0" xfId="0">
      <alignment horizontal="center" vertical="center" wrapText="1"/>
    </xf>
    <xf numFmtId="0" fontId="12" fillId="0" borderId="94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0" fontId="11" fillId="0" borderId="64" applyAlignment="1" pivotButton="0" quotePrefix="0" xfId="0">
      <alignment horizontal="center" vertical="center" wrapText="1"/>
    </xf>
    <xf numFmtId="0" fontId="12" fillId="0" borderId="79" applyAlignment="1" pivotButton="0" quotePrefix="0" xfId="0">
      <alignment horizontal="center" vertical="center" wrapText="1"/>
    </xf>
    <xf numFmtId="0" fontId="12" fillId="0" borderId="111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2" fillId="4" borderId="56" applyAlignment="1" pivotButton="0" quotePrefix="0" xfId="0">
      <alignment horizontal="center" vertical="center" wrapText="1"/>
    </xf>
    <xf numFmtId="0" fontId="2" fillId="4" borderId="10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53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64" applyAlignment="1" pivotButton="0" quotePrefix="0" xfId="0">
      <alignment horizontal="center" vertical="center" wrapText="1"/>
    </xf>
    <xf numFmtId="0" fontId="3" fillId="3" borderId="79" applyAlignment="1" pivotButton="0" quotePrefix="0" xfId="0">
      <alignment horizontal="center" vertical="center" wrapText="1"/>
    </xf>
    <xf numFmtId="0" fontId="3" fillId="3" borderId="80" applyAlignment="1" pivotButton="0" quotePrefix="0" xfId="0">
      <alignment horizontal="center" vertical="center" wrapText="1"/>
    </xf>
    <xf numFmtId="0" fontId="3" fillId="3" borderId="103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56" applyAlignment="1" pivotButton="0" quotePrefix="0" xfId="0">
      <alignment horizontal="center" vertical="center" wrapText="1"/>
    </xf>
    <xf numFmtId="0" fontId="3" fillId="3" borderId="100" applyAlignment="1" pivotButton="0" quotePrefix="0" xfId="0">
      <alignment horizontal="center" vertical="center" wrapText="1"/>
    </xf>
    <xf numFmtId="0" fontId="3" fillId="3" borderId="77" applyAlignment="1" pivotButton="0" quotePrefix="0" xfId="0">
      <alignment horizontal="center" vertical="center" wrapText="1"/>
    </xf>
    <xf numFmtId="0" fontId="3" fillId="3" borderId="52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76" applyAlignment="1" pivotButton="0" quotePrefix="0" xfId="0">
      <alignment horizontal="center" vertical="center" wrapText="1"/>
    </xf>
    <xf numFmtId="0" fontId="11" fillId="3" borderId="51" applyAlignment="1" pivotButton="0" quotePrefix="0" xfId="0">
      <alignment horizontal="left" vertical="top" wrapText="1"/>
    </xf>
    <xf numFmtId="0" fontId="12" fillId="3" borderId="88" applyAlignment="1" pivotButton="0" quotePrefix="0" xfId="0">
      <alignment horizontal="left" vertical="top"/>
    </xf>
    <xf numFmtId="0" fontId="12" fillId="3" borderId="89" applyAlignment="1" pivotButton="0" quotePrefix="0" xfId="0">
      <alignment horizontal="left" vertical="top"/>
    </xf>
    <xf numFmtId="0" fontId="12" fillId="3" borderId="74" applyAlignment="1" pivotButton="0" quotePrefix="0" xfId="0">
      <alignment horizontal="left" vertical="top"/>
    </xf>
    <xf numFmtId="0" fontId="12" fillId="3" borderId="0" applyAlignment="1" pivotButton="0" quotePrefix="0" xfId="0">
      <alignment horizontal="left" vertical="top"/>
    </xf>
    <xf numFmtId="0" fontId="12" fillId="3" borderId="90" applyAlignment="1" pivotButton="0" quotePrefix="0" xfId="0">
      <alignment horizontal="left" vertical="top"/>
    </xf>
    <xf numFmtId="0" fontId="12" fillId="3" borderId="66" applyAlignment="1" pivotButton="0" quotePrefix="0" xfId="0">
      <alignment horizontal="left" vertical="top"/>
    </xf>
    <xf numFmtId="0" fontId="12" fillId="3" borderId="9" applyAlignment="1" pivotButton="0" quotePrefix="0" xfId="0">
      <alignment horizontal="left" vertical="top"/>
    </xf>
    <xf numFmtId="0" fontId="12" fillId="3" borderId="33" applyAlignment="1" pivotButton="0" quotePrefix="0" xfId="0">
      <alignment horizontal="left" vertical="top"/>
    </xf>
    <xf numFmtId="0" fontId="12" fillId="0" borderId="100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20" applyAlignment="1" pivotButton="0" quotePrefix="0" xfId="0">
      <alignment horizontal="center" vertical="center" wrapText="1"/>
    </xf>
    <xf numFmtId="0" fontId="3" fillId="3" borderId="127" applyAlignment="1" pivotButton="0" quotePrefix="0" xfId="0">
      <alignment horizontal="center" vertical="center" wrapText="1"/>
    </xf>
    <xf numFmtId="0" fontId="3" fillId="3" borderId="105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76" pivotButton="0" quotePrefix="0" xfId="0"/>
    <xf numFmtId="0" fontId="3" fillId="3" borderId="129" applyAlignment="1" pivotButton="0" quotePrefix="0" xfId="0">
      <alignment horizontal="center" vertical="center" wrapText="1"/>
    </xf>
    <xf numFmtId="0" fontId="3" fillId="3" borderId="128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80" pivotButton="0" quotePrefix="0" xfId="0"/>
    <xf numFmtId="0" fontId="0" fillId="0" borderId="8" pivotButton="0" quotePrefix="0" xfId="0"/>
    <xf numFmtId="0" fontId="3" fillId="3" borderId="124" applyAlignment="1" pivotButton="0" quotePrefix="0" xfId="0">
      <alignment horizontal="center" vertical="center" wrapText="1"/>
    </xf>
    <xf numFmtId="0" fontId="3" fillId="3" borderId="12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6" pivotButton="0" quotePrefix="0" xfId="0"/>
    <xf numFmtId="0" fontId="0" fillId="0" borderId="64" pivotButton="0" quotePrefix="0" xfId="0"/>
    <xf numFmtId="0" fontId="0" fillId="0" borderId="103" pivotButton="0" quotePrefix="0" xfId="0"/>
    <xf numFmtId="0" fontId="0" fillId="0" borderId="4" pivotButton="0" quotePrefix="0" xfId="0"/>
    <xf numFmtId="0" fontId="0" fillId="0" borderId="65" pivotButton="0" quotePrefix="0" xfId="0"/>
    <xf numFmtId="0" fontId="0" fillId="0" borderId="52" pivotButton="0" quotePrefix="0" xfId="0"/>
    <xf numFmtId="0" fontId="0" fillId="0" borderId="107" pivotButton="0" quotePrefix="0" xfId="0"/>
    <xf numFmtId="0" fontId="0" fillId="0" borderId="100" pivotButton="0" quotePrefix="0" xfId="0"/>
    <xf numFmtId="0" fontId="11" fillId="0" borderId="120" applyAlignment="1" pivotButton="0" quotePrefix="0" xfId="0">
      <alignment horizontal="center" vertical="center" wrapText="1"/>
    </xf>
    <xf numFmtId="0" fontId="12" fillId="0" borderId="13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0" borderId="134" applyAlignment="1" pivotButton="0" quotePrefix="0" xfId="0">
      <alignment horizontal="center" vertical="center" wrapText="1"/>
    </xf>
    <xf numFmtId="0" fontId="0" fillId="0" borderId="81" pivotButton="0" quotePrefix="0" xfId="0"/>
    <xf numFmtId="0" fontId="0" fillId="0" borderId="3" pivotButton="0" quotePrefix="0" xfId="0"/>
    <xf numFmtId="0" fontId="0" fillId="0" borderId="62" pivotButton="0" quotePrefix="0" xfId="0"/>
    <xf numFmtId="0" fontId="12" fillId="0" borderId="126" applyAlignment="1" pivotButton="0" quotePrefix="0" xfId="0">
      <alignment horizontal="center" vertical="center" wrapText="1"/>
    </xf>
    <xf numFmtId="0" fontId="12" fillId="0" borderId="123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12" fillId="0" borderId="131" applyAlignment="1" pivotButton="0" quotePrefix="0" xfId="0">
      <alignment horizontal="center" vertical="center" wrapText="1"/>
    </xf>
    <xf numFmtId="0" fontId="5" fillId="0" borderId="132" applyAlignment="1" pivotButton="0" quotePrefix="0" xfId="0">
      <alignment horizontal="center" vertical="center" wrapText="1"/>
    </xf>
    <xf numFmtId="0" fontId="12" fillId="0" borderId="125" applyAlignment="1" pivotButton="0" quotePrefix="0" xfId="0">
      <alignment horizontal="center" vertical="center" wrapText="1"/>
    </xf>
    <xf numFmtId="0" fontId="5" fillId="2" borderId="13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0" fontId="2" fillId="0" borderId="132" applyAlignment="1" pivotButton="0" quotePrefix="0" xfId="0">
      <alignment horizontal="center" vertical="center" wrapText="1"/>
    </xf>
    <xf numFmtId="0" fontId="12" fillId="0" borderId="105" applyAlignment="1" pivotButton="0" quotePrefix="0" xfId="0">
      <alignment horizontal="center" vertical="center" wrapText="1"/>
    </xf>
    <xf numFmtId="0" fontId="12" fillId="4" borderId="128" applyAlignment="1" pivotButton="0" quotePrefix="0" xfId="0">
      <alignment horizontal="center" vertical="center" wrapText="1"/>
    </xf>
    <xf numFmtId="0" fontId="12" fillId="0" borderId="132" applyAlignment="1" pivotButton="0" quotePrefix="0" xfId="0">
      <alignment horizontal="center" vertical="center" wrapText="1"/>
    </xf>
    <xf numFmtId="0" fontId="2" fillId="0" borderId="105" applyAlignment="1" pivotButton="0" quotePrefix="0" xfId="0">
      <alignment horizontal="center" vertical="center" wrapText="1"/>
    </xf>
    <xf numFmtId="0" fontId="0" fillId="0" borderId="94" pivotButton="0" quotePrefix="0" xfId="0"/>
    <xf numFmtId="0" fontId="0" fillId="0" borderId="68" pivotButton="0" quotePrefix="0" xfId="0"/>
    <xf numFmtId="0" fontId="0" fillId="0" borderId="6" pivotButton="0" quotePrefix="0" xfId="0"/>
    <xf numFmtId="0" fontId="0" fillId="0" borderId="75" pivotButton="0" quotePrefix="0" xfId="0"/>
    <xf numFmtId="0" fontId="12" fillId="5" borderId="123" applyAlignment="1" pivotButton="0" quotePrefix="0" xfId="0">
      <alignment horizontal="center" vertical="center" wrapText="1"/>
    </xf>
    <xf numFmtId="0" fontId="0" fillId="0" borderId="102" pivotButton="0" quotePrefix="0" xfId="0"/>
    <xf numFmtId="0" fontId="0" fillId="0" borderId="34" pivotButton="0" quotePrefix="0" xfId="0"/>
    <xf numFmtId="0" fontId="0" fillId="0" borderId="101" pivotButton="0" quotePrefix="0" xfId="0"/>
    <xf numFmtId="0" fontId="11" fillId="3" borderId="120" applyAlignment="1" pivotButton="0" quotePrefix="0" xfId="0">
      <alignment horizontal="left" vertical="top" wrapText="1"/>
    </xf>
    <xf numFmtId="0" fontId="0" fillId="0" borderId="88" pivotButton="0" quotePrefix="0" xfId="0"/>
    <xf numFmtId="0" fontId="0" fillId="0" borderId="89" pivotButton="0" quotePrefix="0" xfId="0"/>
    <xf numFmtId="0" fontId="0" fillId="0" borderId="90" pivotButton="0" quotePrefix="0" xfId="0"/>
    <xf numFmtId="0" fontId="0" fillId="0" borderId="66" pivotButton="0" quotePrefix="0" xfId="0"/>
    <xf numFmtId="0" fontId="0" fillId="0" borderId="33" pivotButton="0" quotePrefix="0" xfId="0"/>
  </cellXfs>
  <cellStyles count="1">
    <cellStyle name="표준" xfId="0" builtinId="0"/>
  </cellStyles>
  <dxfs count="53"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52"/>
    </tableStyle>
    <tableStyle name="표 스타일 2" pivot="0" count="1">
      <tableStyleElement type="lastColumn" dxfId="51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</commentList>
</comments>
</file>

<file path=xl/tables/table1.xml><?xml version="1.0" encoding="utf-8"?>
<table xmlns="http://schemas.openxmlformats.org/spreadsheetml/2006/main" id="1" name="표3" displayName="표3" ref="E7:H111" headerRowCount="0" totalsRowShown="0" headerRowDxfId="10" dataDxfId="9" tableBorderDxfId="8">
  <tableColumns count="4">
    <tableColumn id="1" name="기준_x000a_학점" headerRowDxfId="7" dataDxfId="6">
      <calculatedColumnFormula>IFERROR(VLOOKUP(D7, 기본학점, 2, FALSE), "")</calculatedColumnFormula>
    </tableColumn>
    <tableColumn id="2" name="운영_x000a_학점" headerRowDxfId="5" dataDxfId="4"/>
    <tableColumn id="3" name="세로 막대형1" headerRowDxfId="3" dataDxfId="2"/>
    <tableColumn id="4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25"/>
  <sheetViews>
    <sheetView tabSelected="1" topLeftCell="A52" zoomScale="115" zoomScaleNormal="115" zoomScaleSheetLayoutView="100" workbookViewId="0">
      <selection activeCell="C101" sqref="C101"/>
    </sheetView>
  </sheetViews>
  <sheetFormatPr baseColWidth="8" defaultRowHeight="13.5"/>
  <cols>
    <col width="4.44140625" customWidth="1" style="5" min="1" max="1"/>
    <col width="13" customWidth="1" style="4" min="2" max="2"/>
    <col width="7.5546875" customWidth="1" style="4" min="3" max="3"/>
    <col width="22" customWidth="1" style="4" min="4" max="4"/>
    <col width="5.77734375" customWidth="1" style="4" min="5" max="12"/>
    <col width="13.6640625" customWidth="1" style="4" min="13" max="14"/>
    <col width="5.77734375" customWidth="1" style="4" min="15" max="16"/>
    <col width="6" customWidth="1" min="17" max="17"/>
    <col width="3.5546875" customWidth="1" min="247" max="247"/>
    <col width="5.77734375" customWidth="1" min="248" max="250"/>
    <col width="11.109375" customWidth="1" min="251" max="251"/>
    <col width="5.77734375" customWidth="1" min="252" max="259"/>
    <col width="7.109375" customWidth="1" min="260" max="260"/>
    <col width="5.77734375" customWidth="1" min="261" max="262"/>
    <col width="6" customWidth="1" min="263" max="263"/>
    <col width="3.5546875" customWidth="1" min="503" max="503"/>
    <col width="5.77734375" customWidth="1" min="504" max="506"/>
    <col width="11.109375" customWidth="1" min="507" max="507"/>
    <col width="5.77734375" customWidth="1" min="508" max="515"/>
    <col width="7.109375" customWidth="1" min="516" max="516"/>
    <col width="5.77734375" customWidth="1" min="517" max="518"/>
    <col width="6" customWidth="1" min="519" max="519"/>
    <col width="3.5546875" customWidth="1" min="759" max="759"/>
    <col width="5.77734375" customWidth="1" min="760" max="762"/>
    <col width="11.109375" customWidth="1" min="763" max="763"/>
    <col width="5.77734375" customWidth="1" min="764" max="771"/>
    <col width="7.109375" customWidth="1" min="772" max="772"/>
    <col width="5.77734375" customWidth="1" min="773" max="774"/>
    <col width="6" customWidth="1" min="775" max="775"/>
    <col width="3.5546875" customWidth="1" min="1015" max="1015"/>
    <col width="5.77734375" customWidth="1" min="1016" max="1018"/>
    <col width="11.109375" customWidth="1" min="1019" max="1019"/>
    <col width="5.77734375" customWidth="1" min="1020" max="1027"/>
    <col width="7.109375" customWidth="1" min="1028" max="1028"/>
    <col width="5.77734375" customWidth="1" min="1029" max="1030"/>
    <col width="6" customWidth="1" min="1031" max="1031"/>
    <col width="3.5546875" customWidth="1" min="1271" max="1271"/>
    <col width="5.77734375" customWidth="1" min="1272" max="1274"/>
    <col width="11.109375" customWidth="1" min="1275" max="1275"/>
    <col width="5.77734375" customWidth="1" min="1276" max="1283"/>
    <col width="7.109375" customWidth="1" min="1284" max="1284"/>
    <col width="5.77734375" customWidth="1" min="1285" max="1286"/>
    <col width="6" customWidth="1" min="1287" max="1287"/>
    <col width="3.5546875" customWidth="1" min="1527" max="1527"/>
    <col width="5.77734375" customWidth="1" min="1528" max="1530"/>
    <col width="11.109375" customWidth="1" min="1531" max="1531"/>
    <col width="5.77734375" customWidth="1" min="1532" max="1539"/>
    <col width="7.109375" customWidth="1" min="1540" max="1540"/>
    <col width="5.77734375" customWidth="1" min="1541" max="1542"/>
    <col width="6" customWidth="1" min="1543" max="1543"/>
    <col width="3.5546875" customWidth="1" min="1783" max="1783"/>
    <col width="5.77734375" customWidth="1" min="1784" max="1786"/>
    <col width="11.109375" customWidth="1" min="1787" max="1787"/>
    <col width="5.77734375" customWidth="1" min="1788" max="1795"/>
    <col width="7.109375" customWidth="1" min="1796" max="1796"/>
    <col width="5.77734375" customWidth="1" min="1797" max="1798"/>
    <col width="6" customWidth="1" min="1799" max="1799"/>
    <col width="3.5546875" customWidth="1" min="2039" max="2039"/>
    <col width="5.77734375" customWidth="1" min="2040" max="2042"/>
    <col width="11.109375" customWidth="1" min="2043" max="2043"/>
    <col width="5.77734375" customWidth="1" min="2044" max="2051"/>
    <col width="7.109375" customWidth="1" min="2052" max="2052"/>
    <col width="5.77734375" customWidth="1" min="2053" max="2054"/>
    <col width="6" customWidth="1" min="2055" max="2055"/>
    <col width="3.5546875" customWidth="1" min="2295" max="2295"/>
    <col width="5.77734375" customWidth="1" min="2296" max="2298"/>
    <col width="11.109375" customWidth="1" min="2299" max="2299"/>
    <col width="5.77734375" customWidth="1" min="2300" max="2307"/>
    <col width="7.109375" customWidth="1" min="2308" max="2308"/>
    <col width="5.77734375" customWidth="1" min="2309" max="2310"/>
    <col width="6" customWidth="1" min="2311" max="2311"/>
    <col width="3.5546875" customWidth="1" min="2551" max="2551"/>
    <col width="5.77734375" customWidth="1" min="2552" max="2554"/>
    <col width="11.109375" customWidth="1" min="2555" max="2555"/>
    <col width="5.77734375" customWidth="1" min="2556" max="2563"/>
    <col width="7.109375" customWidth="1" min="2564" max="2564"/>
    <col width="5.77734375" customWidth="1" min="2565" max="2566"/>
    <col width="6" customWidth="1" min="2567" max="2567"/>
    <col width="3.5546875" customWidth="1" min="2807" max="2807"/>
    <col width="5.77734375" customWidth="1" min="2808" max="2810"/>
    <col width="11.109375" customWidth="1" min="2811" max="2811"/>
    <col width="5.77734375" customWidth="1" min="2812" max="2819"/>
    <col width="7.109375" customWidth="1" min="2820" max="2820"/>
    <col width="5.77734375" customWidth="1" min="2821" max="2822"/>
    <col width="6" customWidth="1" min="2823" max="2823"/>
    <col width="3.5546875" customWidth="1" min="3063" max="3063"/>
    <col width="5.77734375" customWidth="1" min="3064" max="3066"/>
    <col width="11.109375" customWidth="1" min="3067" max="3067"/>
    <col width="5.77734375" customWidth="1" min="3068" max="3075"/>
    <col width="7.109375" customWidth="1" min="3076" max="3076"/>
    <col width="5.77734375" customWidth="1" min="3077" max="3078"/>
    <col width="6" customWidth="1" min="3079" max="3079"/>
    <col width="3.5546875" customWidth="1" min="3319" max="3319"/>
    <col width="5.77734375" customWidth="1" min="3320" max="3322"/>
    <col width="11.109375" customWidth="1" min="3323" max="3323"/>
    <col width="5.77734375" customWidth="1" min="3324" max="3331"/>
    <col width="7.109375" customWidth="1" min="3332" max="3332"/>
    <col width="5.77734375" customWidth="1" min="3333" max="3334"/>
    <col width="6" customWidth="1" min="3335" max="3335"/>
    <col width="3.5546875" customWidth="1" min="3575" max="3575"/>
    <col width="5.77734375" customWidth="1" min="3576" max="3578"/>
    <col width="11.109375" customWidth="1" min="3579" max="3579"/>
    <col width="5.77734375" customWidth="1" min="3580" max="3587"/>
    <col width="7.109375" customWidth="1" min="3588" max="3588"/>
    <col width="5.77734375" customWidth="1" min="3589" max="3590"/>
    <col width="6" customWidth="1" min="3591" max="3591"/>
    <col width="3.5546875" customWidth="1" min="3831" max="3831"/>
    <col width="5.77734375" customWidth="1" min="3832" max="3834"/>
    <col width="11.109375" customWidth="1" min="3835" max="3835"/>
    <col width="5.77734375" customWidth="1" min="3836" max="3843"/>
    <col width="7.109375" customWidth="1" min="3844" max="3844"/>
    <col width="5.77734375" customWidth="1" min="3845" max="3846"/>
    <col width="6" customWidth="1" min="3847" max="3847"/>
    <col width="3.5546875" customWidth="1" min="4087" max="4087"/>
    <col width="5.77734375" customWidth="1" min="4088" max="4090"/>
    <col width="11.109375" customWidth="1" min="4091" max="4091"/>
    <col width="5.77734375" customWidth="1" min="4092" max="4099"/>
    <col width="7.109375" customWidth="1" min="4100" max="4100"/>
    <col width="5.77734375" customWidth="1" min="4101" max="4102"/>
    <col width="6" customWidth="1" min="4103" max="4103"/>
    <col width="3.5546875" customWidth="1" min="4343" max="4343"/>
    <col width="5.77734375" customWidth="1" min="4344" max="4346"/>
    <col width="11.109375" customWidth="1" min="4347" max="4347"/>
    <col width="5.77734375" customWidth="1" min="4348" max="4355"/>
    <col width="7.109375" customWidth="1" min="4356" max="4356"/>
    <col width="5.77734375" customWidth="1" min="4357" max="4358"/>
    <col width="6" customWidth="1" min="4359" max="4359"/>
    <col width="3.5546875" customWidth="1" min="4599" max="4599"/>
    <col width="5.77734375" customWidth="1" min="4600" max="4602"/>
    <col width="11.109375" customWidth="1" min="4603" max="4603"/>
    <col width="5.77734375" customWidth="1" min="4604" max="4611"/>
    <col width="7.109375" customWidth="1" min="4612" max="4612"/>
    <col width="5.77734375" customWidth="1" min="4613" max="4614"/>
    <col width="6" customWidth="1" min="4615" max="4615"/>
    <col width="3.5546875" customWidth="1" min="4855" max="4855"/>
    <col width="5.77734375" customWidth="1" min="4856" max="4858"/>
    <col width="11.109375" customWidth="1" min="4859" max="4859"/>
    <col width="5.77734375" customWidth="1" min="4860" max="4867"/>
    <col width="7.109375" customWidth="1" min="4868" max="4868"/>
    <col width="5.77734375" customWidth="1" min="4869" max="4870"/>
    <col width="6" customWidth="1" min="4871" max="4871"/>
    <col width="3.5546875" customWidth="1" min="5111" max="5111"/>
    <col width="5.77734375" customWidth="1" min="5112" max="5114"/>
    <col width="11.109375" customWidth="1" min="5115" max="5115"/>
    <col width="5.77734375" customWidth="1" min="5116" max="5123"/>
    <col width="7.109375" customWidth="1" min="5124" max="5124"/>
    <col width="5.77734375" customWidth="1" min="5125" max="5126"/>
    <col width="6" customWidth="1" min="5127" max="5127"/>
    <col width="3.5546875" customWidth="1" min="5367" max="5367"/>
    <col width="5.77734375" customWidth="1" min="5368" max="5370"/>
    <col width="11.109375" customWidth="1" min="5371" max="5371"/>
    <col width="5.77734375" customWidth="1" min="5372" max="5379"/>
    <col width="7.109375" customWidth="1" min="5380" max="5380"/>
    <col width="5.77734375" customWidth="1" min="5381" max="5382"/>
    <col width="6" customWidth="1" min="5383" max="5383"/>
    <col width="3.5546875" customWidth="1" min="5623" max="5623"/>
    <col width="5.77734375" customWidth="1" min="5624" max="5626"/>
    <col width="11.109375" customWidth="1" min="5627" max="5627"/>
    <col width="5.77734375" customWidth="1" min="5628" max="5635"/>
    <col width="7.109375" customWidth="1" min="5636" max="5636"/>
    <col width="5.77734375" customWidth="1" min="5637" max="5638"/>
    <col width="6" customWidth="1" min="5639" max="5639"/>
    <col width="3.5546875" customWidth="1" min="5879" max="5879"/>
    <col width="5.77734375" customWidth="1" min="5880" max="5882"/>
    <col width="11.109375" customWidth="1" min="5883" max="5883"/>
    <col width="5.77734375" customWidth="1" min="5884" max="5891"/>
    <col width="7.109375" customWidth="1" min="5892" max="5892"/>
    <col width="5.77734375" customWidth="1" min="5893" max="5894"/>
    <col width="6" customWidth="1" min="5895" max="5895"/>
    <col width="3.5546875" customWidth="1" min="6135" max="6135"/>
    <col width="5.77734375" customWidth="1" min="6136" max="6138"/>
    <col width="11.109375" customWidth="1" min="6139" max="6139"/>
    <col width="5.77734375" customWidth="1" min="6140" max="6147"/>
    <col width="7.109375" customWidth="1" min="6148" max="6148"/>
    <col width="5.77734375" customWidth="1" min="6149" max="6150"/>
    <col width="6" customWidth="1" min="6151" max="6151"/>
    <col width="3.5546875" customWidth="1" min="6391" max="6391"/>
    <col width="5.77734375" customWidth="1" min="6392" max="6394"/>
    <col width="11.109375" customWidth="1" min="6395" max="6395"/>
    <col width="5.77734375" customWidth="1" min="6396" max="6403"/>
    <col width="7.109375" customWidth="1" min="6404" max="6404"/>
    <col width="5.77734375" customWidth="1" min="6405" max="6406"/>
    <col width="6" customWidth="1" min="6407" max="6407"/>
    <col width="3.5546875" customWidth="1" min="6647" max="6647"/>
    <col width="5.77734375" customWidth="1" min="6648" max="6650"/>
    <col width="11.109375" customWidth="1" min="6651" max="6651"/>
    <col width="5.77734375" customWidth="1" min="6652" max="6659"/>
    <col width="7.109375" customWidth="1" min="6660" max="6660"/>
    <col width="5.77734375" customWidth="1" min="6661" max="6662"/>
    <col width="6" customWidth="1" min="6663" max="6663"/>
    <col width="3.5546875" customWidth="1" min="6903" max="6903"/>
    <col width="5.77734375" customWidth="1" min="6904" max="6906"/>
    <col width="11.109375" customWidth="1" min="6907" max="6907"/>
    <col width="5.77734375" customWidth="1" min="6908" max="6915"/>
    <col width="7.109375" customWidth="1" min="6916" max="6916"/>
    <col width="5.77734375" customWidth="1" min="6917" max="6918"/>
    <col width="6" customWidth="1" min="6919" max="6919"/>
    <col width="3.5546875" customWidth="1" min="7159" max="7159"/>
    <col width="5.77734375" customWidth="1" min="7160" max="7162"/>
    <col width="11.109375" customWidth="1" min="7163" max="7163"/>
    <col width="5.77734375" customWidth="1" min="7164" max="7171"/>
    <col width="7.109375" customWidth="1" min="7172" max="7172"/>
    <col width="5.77734375" customWidth="1" min="7173" max="7174"/>
    <col width="6" customWidth="1" min="7175" max="7175"/>
    <col width="3.5546875" customWidth="1" min="7415" max="7415"/>
    <col width="5.77734375" customWidth="1" min="7416" max="7418"/>
    <col width="11.109375" customWidth="1" min="7419" max="7419"/>
    <col width="5.77734375" customWidth="1" min="7420" max="7427"/>
    <col width="7.109375" customWidth="1" min="7428" max="7428"/>
    <col width="5.77734375" customWidth="1" min="7429" max="7430"/>
    <col width="6" customWidth="1" min="7431" max="7431"/>
    <col width="3.5546875" customWidth="1" min="7671" max="7671"/>
    <col width="5.77734375" customWidth="1" min="7672" max="7674"/>
    <col width="11.109375" customWidth="1" min="7675" max="7675"/>
    <col width="5.77734375" customWidth="1" min="7676" max="7683"/>
    <col width="7.109375" customWidth="1" min="7684" max="7684"/>
    <col width="5.77734375" customWidth="1" min="7685" max="7686"/>
    <col width="6" customWidth="1" min="7687" max="7687"/>
    <col width="3.5546875" customWidth="1" min="7927" max="7927"/>
    <col width="5.77734375" customWidth="1" min="7928" max="7930"/>
    <col width="11.109375" customWidth="1" min="7931" max="7931"/>
    <col width="5.77734375" customWidth="1" min="7932" max="7939"/>
    <col width="7.109375" customWidth="1" min="7940" max="7940"/>
    <col width="5.77734375" customWidth="1" min="7941" max="7942"/>
    <col width="6" customWidth="1" min="7943" max="7943"/>
    <col width="3.5546875" customWidth="1" min="8183" max="8183"/>
    <col width="5.77734375" customWidth="1" min="8184" max="8186"/>
    <col width="11.109375" customWidth="1" min="8187" max="8187"/>
    <col width="5.77734375" customWidth="1" min="8188" max="8195"/>
    <col width="7.109375" customWidth="1" min="8196" max="8196"/>
    <col width="5.77734375" customWidth="1" min="8197" max="8198"/>
    <col width="6" customWidth="1" min="8199" max="8199"/>
    <col width="3.5546875" customWidth="1" min="8439" max="8439"/>
    <col width="5.77734375" customWidth="1" min="8440" max="8442"/>
    <col width="11.109375" customWidth="1" min="8443" max="8443"/>
    <col width="5.77734375" customWidth="1" min="8444" max="8451"/>
    <col width="7.109375" customWidth="1" min="8452" max="8452"/>
    <col width="5.77734375" customWidth="1" min="8453" max="8454"/>
    <col width="6" customWidth="1" min="8455" max="8455"/>
    <col width="3.5546875" customWidth="1" min="8695" max="8695"/>
    <col width="5.77734375" customWidth="1" min="8696" max="8698"/>
    <col width="11.109375" customWidth="1" min="8699" max="8699"/>
    <col width="5.77734375" customWidth="1" min="8700" max="8707"/>
    <col width="7.109375" customWidth="1" min="8708" max="8708"/>
    <col width="5.77734375" customWidth="1" min="8709" max="8710"/>
    <col width="6" customWidth="1" min="8711" max="8711"/>
    <col width="3.5546875" customWidth="1" min="8951" max="8951"/>
    <col width="5.77734375" customWidth="1" min="8952" max="8954"/>
    <col width="11.109375" customWidth="1" min="8955" max="8955"/>
    <col width="5.77734375" customWidth="1" min="8956" max="8963"/>
    <col width="7.109375" customWidth="1" min="8964" max="8964"/>
    <col width="5.77734375" customWidth="1" min="8965" max="8966"/>
    <col width="6" customWidth="1" min="8967" max="8967"/>
    <col width="3.5546875" customWidth="1" min="9207" max="9207"/>
    <col width="5.77734375" customWidth="1" min="9208" max="9210"/>
    <col width="11.109375" customWidth="1" min="9211" max="9211"/>
    <col width="5.77734375" customWidth="1" min="9212" max="9219"/>
    <col width="7.109375" customWidth="1" min="9220" max="9220"/>
    <col width="5.77734375" customWidth="1" min="9221" max="9222"/>
    <col width="6" customWidth="1" min="9223" max="9223"/>
    <col width="3.5546875" customWidth="1" min="9463" max="9463"/>
    <col width="5.77734375" customWidth="1" min="9464" max="9466"/>
    <col width="11.109375" customWidth="1" min="9467" max="9467"/>
    <col width="5.77734375" customWidth="1" min="9468" max="9475"/>
    <col width="7.109375" customWidth="1" min="9476" max="9476"/>
    <col width="5.77734375" customWidth="1" min="9477" max="9478"/>
    <col width="6" customWidth="1" min="9479" max="9479"/>
    <col width="3.5546875" customWidth="1" min="9719" max="9719"/>
    <col width="5.77734375" customWidth="1" min="9720" max="9722"/>
    <col width="11.109375" customWidth="1" min="9723" max="9723"/>
    <col width="5.77734375" customWidth="1" min="9724" max="9731"/>
    <col width="7.109375" customWidth="1" min="9732" max="9732"/>
    <col width="5.77734375" customWidth="1" min="9733" max="9734"/>
    <col width="6" customWidth="1" min="9735" max="9735"/>
    <col width="3.5546875" customWidth="1" min="9975" max="9975"/>
    <col width="5.77734375" customWidth="1" min="9976" max="9978"/>
    <col width="11.109375" customWidth="1" min="9979" max="9979"/>
    <col width="5.77734375" customWidth="1" min="9980" max="9987"/>
    <col width="7.109375" customWidth="1" min="9988" max="9988"/>
    <col width="5.77734375" customWidth="1" min="9989" max="9990"/>
    <col width="6" customWidth="1" min="9991" max="9991"/>
    <col width="3.5546875" customWidth="1" min="10231" max="10231"/>
    <col width="5.77734375" customWidth="1" min="10232" max="10234"/>
    <col width="11.109375" customWidth="1" min="10235" max="10235"/>
    <col width="5.77734375" customWidth="1" min="10236" max="10243"/>
    <col width="7.109375" customWidth="1" min="10244" max="10244"/>
    <col width="5.77734375" customWidth="1" min="10245" max="10246"/>
    <col width="6" customWidth="1" min="10247" max="10247"/>
    <col width="3.5546875" customWidth="1" min="10487" max="10487"/>
    <col width="5.77734375" customWidth="1" min="10488" max="10490"/>
    <col width="11.109375" customWidth="1" min="10491" max="10491"/>
    <col width="5.77734375" customWidth="1" min="10492" max="10499"/>
    <col width="7.109375" customWidth="1" min="10500" max="10500"/>
    <col width="5.77734375" customWidth="1" min="10501" max="10502"/>
    <col width="6" customWidth="1" min="10503" max="10503"/>
    <col width="3.5546875" customWidth="1" min="10743" max="10743"/>
    <col width="5.77734375" customWidth="1" min="10744" max="10746"/>
    <col width="11.109375" customWidth="1" min="10747" max="10747"/>
    <col width="5.77734375" customWidth="1" min="10748" max="10755"/>
    <col width="7.109375" customWidth="1" min="10756" max="10756"/>
    <col width="5.77734375" customWidth="1" min="10757" max="10758"/>
    <col width="6" customWidth="1" min="10759" max="10759"/>
    <col width="3.5546875" customWidth="1" min="10999" max="10999"/>
    <col width="5.77734375" customWidth="1" min="11000" max="11002"/>
    <col width="11.109375" customWidth="1" min="11003" max="11003"/>
    <col width="5.77734375" customWidth="1" min="11004" max="11011"/>
    <col width="7.109375" customWidth="1" min="11012" max="11012"/>
    <col width="5.77734375" customWidth="1" min="11013" max="11014"/>
    <col width="6" customWidth="1" min="11015" max="11015"/>
    <col width="3.5546875" customWidth="1" min="11255" max="11255"/>
    <col width="5.77734375" customWidth="1" min="11256" max="11258"/>
    <col width="11.109375" customWidth="1" min="11259" max="11259"/>
    <col width="5.77734375" customWidth="1" min="11260" max="11267"/>
    <col width="7.109375" customWidth="1" min="11268" max="11268"/>
    <col width="5.77734375" customWidth="1" min="11269" max="11270"/>
    <col width="6" customWidth="1" min="11271" max="11271"/>
    <col width="3.5546875" customWidth="1" min="11511" max="11511"/>
    <col width="5.77734375" customWidth="1" min="11512" max="11514"/>
    <col width="11.109375" customWidth="1" min="11515" max="11515"/>
    <col width="5.77734375" customWidth="1" min="11516" max="11523"/>
    <col width="7.109375" customWidth="1" min="11524" max="11524"/>
    <col width="5.77734375" customWidth="1" min="11525" max="11526"/>
    <col width="6" customWidth="1" min="11527" max="11527"/>
    <col width="3.5546875" customWidth="1" min="11767" max="11767"/>
    <col width="5.77734375" customWidth="1" min="11768" max="11770"/>
    <col width="11.109375" customWidth="1" min="11771" max="11771"/>
    <col width="5.77734375" customWidth="1" min="11772" max="11779"/>
    <col width="7.109375" customWidth="1" min="11780" max="11780"/>
    <col width="5.77734375" customWidth="1" min="11781" max="11782"/>
    <col width="6" customWidth="1" min="11783" max="11783"/>
    <col width="3.5546875" customWidth="1" min="12023" max="12023"/>
    <col width="5.77734375" customWidth="1" min="12024" max="12026"/>
    <col width="11.109375" customWidth="1" min="12027" max="12027"/>
    <col width="5.77734375" customWidth="1" min="12028" max="12035"/>
    <col width="7.109375" customWidth="1" min="12036" max="12036"/>
    <col width="5.77734375" customWidth="1" min="12037" max="12038"/>
    <col width="6" customWidth="1" min="12039" max="12039"/>
    <col width="3.5546875" customWidth="1" min="12279" max="12279"/>
    <col width="5.77734375" customWidth="1" min="12280" max="12282"/>
    <col width="11.109375" customWidth="1" min="12283" max="12283"/>
    <col width="5.77734375" customWidth="1" min="12284" max="12291"/>
    <col width="7.109375" customWidth="1" min="12292" max="12292"/>
    <col width="5.77734375" customWidth="1" min="12293" max="12294"/>
    <col width="6" customWidth="1" min="12295" max="12295"/>
    <col width="3.5546875" customWidth="1" min="12535" max="12535"/>
    <col width="5.77734375" customWidth="1" min="12536" max="12538"/>
    <col width="11.109375" customWidth="1" min="12539" max="12539"/>
    <col width="5.77734375" customWidth="1" min="12540" max="12547"/>
    <col width="7.109375" customWidth="1" min="12548" max="12548"/>
    <col width="5.77734375" customWidth="1" min="12549" max="12550"/>
    <col width="6" customWidth="1" min="12551" max="12551"/>
    <col width="3.5546875" customWidth="1" min="12791" max="12791"/>
    <col width="5.77734375" customWidth="1" min="12792" max="12794"/>
    <col width="11.109375" customWidth="1" min="12795" max="12795"/>
    <col width="5.77734375" customWidth="1" min="12796" max="12803"/>
    <col width="7.109375" customWidth="1" min="12804" max="12804"/>
    <col width="5.77734375" customWidth="1" min="12805" max="12806"/>
    <col width="6" customWidth="1" min="12807" max="12807"/>
    <col width="3.5546875" customWidth="1" min="13047" max="13047"/>
    <col width="5.77734375" customWidth="1" min="13048" max="13050"/>
    <col width="11.109375" customWidth="1" min="13051" max="13051"/>
    <col width="5.77734375" customWidth="1" min="13052" max="13059"/>
    <col width="7.109375" customWidth="1" min="13060" max="13060"/>
    <col width="5.77734375" customWidth="1" min="13061" max="13062"/>
    <col width="6" customWidth="1" min="13063" max="13063"/>
    <col width="3.5546875" customWidth="1" min="13303" max="13303"/>
    <col width="5.77734375" customWidth="1" min="13304" max="13306"/>
    <col width="11.109375" customWidth="1" min="13307" max="13307"/>
    <col width="5.77734375" customWidth="1" min="13308" max="13315"/>
    <col width="7.109375" customWidth="1" min="13316" max="13316"/>
    <col width="5.77734375" customWidth="1" min="13317" max="13318"/>
    <col width="6" customWidth="1" min="13319" max="13319"/>
    <col width="3.5546875" customWidth="1" min="13559" max="13559"/>
    <col width="5.77734375" customWidth="1" min="13560" max="13562"/>
    <col width="11.109375" customWidth="1" min="13563" max="13563"/>
    <col width="5.77734375" customWidth="1" min="13564" max="13571"/>
    <col width="7.109375" customWidth="1" min="13572" max="13572"/>
    <col width="5.77734375" customWidth="1" min="13573" max="13574"/>
    <col width="6" customWidth="1" min="13575" max="13575"/>
    <col width="3.5546875" customWidth="1" min="13815" max="13815"/>
    <col width="5.77734375" customWidth="1" min="13816" max="13818"/>
    <col width="11.109375" customWidth="1" min="13819" max="13819"/>
    <col width="5.77734375" customWidth="1" min="13820" max="13827"/>
    <col width="7.109375" customWidth="1" min="13828" max="13828"/>
    <col width="5.77734375" customWidth="1" min="13829" max="13830"/>
    <col width="6" customWidth="1" min="13831" max="13831"/>
    <col width="3.5546875" customWidth="1" min="14071" max="14071"/>
    <col width="5.77734375" customWidth="1" min="14072" max="14074"/>
    <col width="11.109375" customWidth="1" min="14075" max="14075"/>
    <col width="5.77734375" customWidth="1" min="14076" max="14083"/>
    <col width="7.109375" customWidth="1" min="14084" max="14084"/>
    <col width="5.77734375" customWidth="1" min="14085" max="14086"/>
    <col width="6" customWidth="1" min="14087" max="14087"/>
    <col width="3.5546875" customWidth="1" min="14327" max="14327"/>
    <col width="5.77734375" customWidth="1" min="14328" max="14330"/>
    <col width="11.109375" customWidth="1" min="14331" max="14331"/>
    <col width="5.77734375" customWidth="1" min="14332" max="14339"/>
    <col width="7.109375" customWidth="1" min="14340" max="14340"/>
    <col width="5.77734375" customWidth="1" min="14341" max="14342"/>
    <col width="6" customWidth="1" min="14343" max="14343"/>
    <col width="3.5546875" customWidth="1" min="14583" max="14583"/>
    <col width="5.77734375" customWidth="1" min="14584" max="14586"/>
    <col width="11.109375" customWidth="1" min="14587" max="14587"/>
    <col width="5.77734375" customWidth="1" min="14588" max="14595"/>
    <col width="7.109375" customWidth="1" min="14596" max="14596"/>
    <col width="5.77734375" customWidth="1" min="14597" max="14598"/>
    <col width="6" customWidth="1" min="14599" max="14599"/>
    <col width="3.5546875" customWidth="1" min="14839" max="14839"/>
    <col width="5.77734375" customWidth="1" min="14840" max="14842"/>
    <col width="11.109375" customWidth="1" min="14843" max="14843"/>
    <col width="5.77734375" customWidth="1" min="14844" max="14851"/>
    <col width="7.109375" customWidth="1" min="14852" max="14852"/>
    <col width="5.77734375" customWidth="1" min="14853" max="14854"/>
    <col width="6" customWidth="1" min="14855" max="14855"/>
    <col width="3.5546875" customWidth="1" min="15095" max="15095"/>
    <col width="5.77734375" customWidth="1" min="15096" max="15098"/>
    <col width="11.109375" customWidth="1" min="15099" max="15099"/>
    <col width="5.77734375" customWidth="1" min="15100" max="15107"/>
    <col width="7.109375" customWidth="1" min="15108" max="15108"/>
    <col width="5.77734375" customWidth="1" min="15109" max="15110"/>
    <col width="6" customWidth="1" min="15111" max="15111"/>
    <col width="3.5546875" customWidth="1" min="15351" max="15351"/>
    <col width="5.77734375" customWidth="1" min="15352" max="15354"/>
    <col width="11.109375" customWidth="1" min="15355" max="15355"/>
    <col width="5.77734375" customWidth="1" min="15356" max="15363"/>
    <col width="7.109375" customWidth="1" min="15364" max="15364"/>
    <col width="5.77734375" customWidth="1" min="15365" max="15366"/>
    <col width="6" customWidth="1" min="15367" max="15367"/>
    <col width="3.5546875" customWidth="1" min="15607" max="15607"/>
    <col width="5.77734375" customWidth="1" min="15608" max="15610"/>
    <col width="11.109375" customWidth="1" min="15611" max="15611"/>
    <col width="5.77734375" customWidth="1" min="15612" max="15619"/>
    <col width="7.109375" customWidth="1" min="15620" max="15620"/>
    <col width="5.77734375" customWidth="1" min="15621" max="15622"/>
    <col width="6" customWidth="1" min="15623" max="15623"/>
    <col width="3.5546875" customWidth="1" min="15863" max="15863"/>
    <col width="5.77734375" customWidth="1" min="15864" max="15866"/>
    <col width="11.109375" customWidth="1" min="15867" max="15867"/>
    <col width="5.77734375" customWidth="1" min="15868" max="15875"/>
    <col width="7.109375" customWidth="1" min="15876" max="15876"/>
    <col width="5.77734375" customWidth="1" min="15877" max="15878"/>
    <col width="6" customWidth="1" min="15879" max="15879"/>
    <col width="3.5546875" customWidth="1" min="16119" max="16119"/>
    <col width="5.77734375" customWidth="1" min="16120" max="16122"/>
    <col width="11.109375" customWidth="1" min="16123" max="16123"/>
    <col width="5.77734375" customWidth="1" min="16124" max="16131"/>
    <col width="7.109375" customWidth="1" min="16132" max="16132"/>
    <col width="5.77734375" customWidth="1" min="16133" max="16134"/>
    <col width="6" customWidth="1" min="16135" max="16135"/>
  </cols>
  <sheetData>
    <row r="1" ht="47.25" customHeight="1">
      <c r="A1" s="373" t="inlineStr">
        <is>
          <t>상문고등학교 교육과정 학점 배당표</t>
        </is>
      </c>
    </row>
    <row r="2" ht="29.25" customHeight="1" thickBot="1">
      <c r="A2" s="345" t="inlineStr">
        <is>
          <t>2026학년도 입학(2022 개정 교육과정 적용)</t>
        </is>
      </c>
      <c r="B2" s="397" t="n"/>
      <c r="C2" s="397" t="n"/>
      <c r="D2" s="397" t="n"/>
      <c r="E2" s="183" t="n"/>
      <c r="F2" s="3" t="n"/>
      <c r="G2" s="2" t="n"/>
      <c r="H2" s="2" t="n"/>
      <c r="I2" s="2" t="n"/>
      <c r="J2" s="2" t="n"/>
      <c r="K2" s="337" t="n"/>
      <c r="L2" s="397" t="n"/>
      <c r="M2" s="397" t="n"/>
      <c r="N2" s="397" t="n"/>
      <c r="O2" s="397" t="n"/>
      <c r="P2" s="397" t="n"/>
    </row>
    <row r="3" ht="16.5" customHeight="1">
      <c r="A3" s="398" t="inlineStr">
        <is>
          <t>구분</t>
        </is>
      </c>
      <c r="B3" s="399" t="inlineStr">
        <is>
          <t>교과(군)</t>
        </is>
      </c>
      <c r="C3" s="400" t="inlineStr">
        <is>
          <t>과목 
유형</t>
        </is>
      </c>
      <c r="D3" s="400" t="inlineStr">
        <is>
          <t>과목</t>
        </is>
      </c>
      <c r="E3" s="400" t="inlineStr">
        <is>
          <t>기본
학점</t>
        </is>
      </c>
      <c r="F3" s="400" t="inlineStr">
        <is>
          <t>운영
학점</t>
        </is>
      </c>
      <c r="G3" s="401" t="inlineStr">
        <is>
          <t>1학년</t>
        </is>
      </c>
      <c r="H3" s="402" t="n"/>
      <c r="I3" s="401" t="inlineStr">
        <is>
          <t>2학년</t>
        </is>
      </c>
      <c r="J3" s="402" t="n"/>
      <c r="K3" s="401" t="inlineStr">
        <is>
          <t>3학년</t>
        </is>
      </c>
      <c r="L3" s="402" t="n"/>
      <c r="M3" s="400" t="inlineStr">
        <is>
          <t>비고</t>
        </is>
      </c>
      <c r="N3" s="403" t="inlineStr">
        <is>
          <t>과목 개설 유형</t>
        </is>
      </c>
      <c r="O3" s="400" t="inlineStr">
        <is>
          <t>이수
학점</t>
        </is>
      </c>
      <c r="P3" s="404" t="inlineStr">
        <is>
          <t>필수
이수
학점</t>
        </is>
      </c>
    </row>
    <row r="4" ht="14.45" customHeight="1">
      <c r="A4" s="405" t="n"/>
      <c r="B4" s="406" t="n"/>
      <c r="C4" s="407" t="n"/>
      <c r="D4" s="407" t="n"/>
      <c r="E4" s="407" t="n"/>
      <c r="F4" s="407" t="n"/>
      <c r="G4" s="408" t="inlineStr">
        <is>
          <t>1학기</t>
        </is>
      </c>
      <c r="H4" s="409" t="inlineStr">
        <is>
          <t>2학기</t>
        </is>
      </c>
      <c r="I4" s="408" t="inlineStr">
        <is>
          <t>1학기</t>
        </is>
      </c>
      <c r="J4" s="409" t="inlineStr">
        <is>
          <t>2학기</t>
        </is>
      </c>
      <c r="K4" s="408" t="inlineStr">
        <is>
          <t>1학기</t>
        </is>
      </c>
      <c r="L4" s="409" t="inlineStr">
        <is>
          <t>2학기</t>
        </is>
      </c>
      <c r="M4" s="407" t="n"/>
      <c r="N4" s="410" t="n"/>
      <c r="O4" s="407" t="n"/>
      <c r="P4" s="411" t="n"/>
    </row>
    <row r="5" ht="14.45" customHeight="1" thickBot="1">
      <c r="A5" s="412" t="n"/>
      <c r="B5" s="413" t="n"/>
      <c r="C5" s="414" t="n"/>
      <c r="D5" s="414" t="n"/>
      <c r="E5" s="414" t="n"/>
      <c r="F5" s="414" t="n"/>
      <c r="G5" s="415" t="n"/>
      <c r="H5" s="416" t="n"/>
      <c r="I5" s="415" t="n"/>
      <c r="J5" s="416" t="n"/>
      <c r="K5" s="415" t="n"/>
      <c r="L5" s="416" t="n"/>
      <c r="M5" s="414" t="n"/>
      <c r="N5" s="417" t="n"/>
      <c r="O5" s="414" t="n"/>
      <c r="P5" s="418" t="n"/>
    </row>
    <row r="6" hidden="1" ht="14.45" customHeight="1" thickBot="1">
      <c r="A6" s="375" t="n"/>
      <c r="B6" s="378" t="n"/>
      <c r="C6" s="127" t="n"/>
      <c r="D6" s="107" t="n"/>
      <c r="G6" s="126" t="n"/>
      <c r="H6" s="128" t="n"/>
      <c r="I6" s="129" t="n"/>
      <c r="J6" s="128" t="n"/>
      <c r="K6" s="129" t="n"/>
      <c r="L6" s="155" t="n"/>
      <c r="M6" s="156" t="n"/>
      <c r="N6" s="167" t="n"/>
      <c r="O6" s="358" t="n"/>
      <c r="P6" s="381" t="n"/>
    </row>
    <row r="7" ht="15.6" customHeight="1">
      <c r="A7" s="419" t="inlineStr">
        <is>
          <t>학교지정</t>
        </is>
      </c>
      <c r="B7" s="420" t="inlineStr">
        <is>
          <t>국 어</t>
        </is>
      </c>
      <c r="C7" s="112" t="inlineStr">
        <is>
          <t>공통</t>
        </is>
      </c>
      <c r="D7" s="188" t="inlineStr">
        <is>
          <t>공통국어1</t>
        </is>
      </c>
      <c r="E7" s="117">
        <f>IFERROR(VLOOKUP(D7, 기본학점, 2, FALSE), "")</f>
        <v/>
      </c>
      <c r="F7" s="118" t="n">
        <v>4</v>
      </c>
      <c r="G7" s="205" t="n">
        <v>4</v>
      </c>
      <c r="H7" s="206" t="n"/>
      <c r="I7" s="70" t="n"/>
      <c r="J7" s="69" t="n"/>
      <c r="K7" s="70" t="n"/>
      <c r="L7" s="71" t="n"/>
      <c r="M7" s="187" t="n"/>
      <c r="N7" s="168" t="n"/>
      <c r="O7" s="421">
        <f>SUM(F7:F12)</f>
        <v/>
      </c>
      <c r="P7" s="422" t="n">
        <v>8</v>
      </c>
    </row>
    <row r="8" ht="15.6" customHeight="1">
      <c r="A8" s="405" t="n"/>
      <c r="B8" s="406" t="n"/>
      <c r="C8" s="209" t="inlineStr">
        <is>
          <t>공통</t>
        </is>
      </c>
      <c r="D8" s="190" t="inlineStr">
        <is>
          <t>공통국어2</t>
        </is>
      </c>
      <c r="E8" s="204">
        <f>IFERROR(VLOOKUP(D8, 기본학점, 2, FALSE), "")</f>
        <v/>
      </c>
      <c r="F8" s="162" t="n">
        <v>4</v>
      </c>
      <c r="G8" s="136" t="n"/>
      <c r="H8" s="142" t="n">
        <v>4</v>
      </c>
      <c r="I8" s="73" t="n"/>
      <c r="J8" s="72" t="n"/>
      <c r="K8" s="73" t="n"/>
      <c r="L8" s="74" t="n"/>
      <c r="M8" s="189" t="n"/>
      <c r="N8" s="168" t="n"/>
      <c r="O8" s="407" t="n"/>
      <c r="P8" s="411" t="n"/>
    </row>
    <row r="9" ht="15.6" customHeight="1">
      <c r="A9" s="405" t="n"/>
      <c r="B9" s="406" t="n"/>
      <c r="C9" s="209" t="inlineStr">
        <is>
          <t>일반</t>
        </is>
      </c>
      <c r="D9" s="190" t="inlineStr">
        <is>
          <t>문학</t>
        </is>
      </c>
      <c r="E9" s="204">
        <f>IFERROR(VLOOKUP(D9, 기본학점, 2, FALSE), "")</f>
        <v/>
      </c>
      <c r="F9" s="162" t="n">
        <v>4</v>
      </c>
      <c r="G9" s="136" t="n"/>
      <c r="H9" s="142" t="n"/>
      <c r="I9" s="73" t="n">
        <v>4</v>
      </c>
      <c r="J9" s="72" t="n"/>
      <c r="K9" s="73" t="n"/>
      <c r="L9" s="74" t="n"/>
      <c r="M9" s="189" t="n"/>
      <c r="N9" s="168" t="n"/>
      <c r="O9" s="407" t="n"/>
      <c r="P9" s="411" t="n"/>
    </row>
    <row r="10" ht="15.6" customHeight="1">
      <c r="A10" s="405" t="n"/>
      <c r="B10" s="406" t="n"/>
      <c r="C10" s="209" t="inlineStr">
        <is>
          <t>일반</t>
        </is>
      </c>
      <c r="D10" s="190" t="inlineStr">
        <is>
          <t xml:space="preserve">화법과 언어 </t>
        </is>
      </c>
      <c r="E10" s="204">
        <f>IFERROR(VLOOKUP(D10, 기본학점, 2, FALSE), "")</f>
        <v/>
      </c>
      <c r="F10" s="162" t="n">
        <v>4</v>
      </c>
      <c r="G10" s="136" t="n"/>
      <c r="H10" s="142" t="n"/>
      <c r="I10" s="73" t="n"/>
      <c r="J10" s="72" t="n">
        <v>4</v>
      </c>
      <c r="K10" s="73" t="n"/>
      <c r="L10" s="74" t="n"/>
      <c r="M10" s="189" t="n"/>
      <c r="N10" s="168" t="n"/>
      <c r="O10" s="407" t="n"/>
      <c r="P10" s="411" t="n"/>
    </row>
    <row r="11" ht="15.6" customHeight="1">
      <c r="A11" s="405" t="n"/>
      <c r="B11" s="406" t="n"/>
      <c r="C11" s="157" t="inlineStr">
        <is>
          <t>일반</t>
        </is>
      </c>
      <c r="D11" s="190" t="inlineStr">
        <is>
          <t xml:space="preserve">독서와 작문 </t>
        </is>
      </c>
      <c r="E11" s="204">
        <f>IFERROR(VLOOKUP(D11, 기본학점, 2, FALSE), "")</f>
        <v/>
      </c>
      <c r="F11" s="162" t="n">
        <v>4</v>
      </c>
      <c r="G11" s="136" t="n"/>
      <c r="H11" s="142" t="n"/>
      <c r="I11" s="73" t="n"/>
      <c r="J11" s="72" t="n"/>
      <c r="K11" s="73" t="n">
        <v>4</v>
      </c>
      <c r="L11" s="74" t="n"/>
      <c r="M11" s="189" t="n"/>
      <c r="N11" s="168" t="n"/>
      <c r="O11" s="407" t="n"/>
      <c r="P11" s="411" t="n"/>
    </row>
    <row r="12" ht="15.6" customHeight="1">
      <c r="A12" s="405" t="n"/>
      <c r="B12" s="423" t="n"/>
      <c r="C12" s="106" t="inlineStr">
        <is>
          <t>융합</t>
        </is>
      </c>
      <c r="D12" s="190" t="inlineStr">
        <is>
          <t>언어생활 탐구</t>
        </is>
      </c>
      <c r="E12" s="159">
        <f>IFERROR(VLOOKUP(D12, 기본학점, 2, FALSE), "")</f>
        <v/>
      </c>
      <c r="F12" s="122" t="n">
        <v>4</v>
      </c>
      <c r="G12" s="134" t="n"/>
      <c r="H12" s="145" t="n"/>
      <c r="I12" s="81" t="n"/>
      <c r="J12" s="82" t="n"/>
      <c r="K12" s="81" t="n"/>
      <c r="L12" s="71" t="n">
        <v>4</v>
      </c>
      <c r="M12" s="187" t="n"/>
      <c r="N12" s="169" t="n"/>
      <c r="O12" s="424" t="n"/>
      <c r="P12" s="425" t="n"/>
    </row>
    <row r="13" ht="15.6" customHeight="1">
      <c r="A13" s="405" t="n"/>
      <c r="B13" s="326" t="inlineStr">
        <is>
          <t>수 학</t>
        </is>
      </c>
      <c r="C13" s="75" t="inlineStr">
        <is>
          <t>공통</t>
        </is>
      </c>
      <c r="D13" s="193" t="inlineStr">
        <is>
          <t>공통수학1</t>
        </is>
      </c>
      <c r="E13" s="210">
        <f>IFERROR(VLOOKUP(D13, 기본학점, 2, FALSE), "")</f>
        <v/>
      </c>
      <c r="F13" s="158" t="n">
        <v>4</v>
      </c>
      <c r="G13" s="119" t="n">
        <v>4</v>
      </c>
      <c r="H13" s="143" t="n"/>
      <c r="I13" s="77" t="n"/>
      <c r="J13" s="76" t="n"/>
      <c r="K13" s="119" t="n"/>
      <c r="L13" s="143" t="n"/>
      <c r="M13" s="194" t="n"/>
      <c r="N13" s="170" t="n"/>
      <c r="O13" s="315">
        <f>SUM(F13:F17)</f>
        <v/>
      </c>
      <c r="P13" s="342" t="n">
        <v>8</v>
      </c>
    </row>
    <row r="14" ht="15.6" customHeight="1">
      <c r="A14" s="405" t="n"/>
      <c r="B14" s="406" t="n"/>
      <c r="C14" s="157" t="inlineStr">
        <is>
          <t>공통</t>
        </is>
      </c>
      <c r="D14" s="190" t="inlineStr">
        <is>
          <t>공통수학2</t>
        </is>
      </c>
      <c r="E14" s="204">
        <f>IFERROR(VLOOKUP(D14, 기본학점, 2, FALSE), "")</f>
        <v/>
      </c>
      <c r="F14" s="182" t="n">
        <v>4</v>
      </c>
      <c r="G14" s="121" t="n"/>
      <c r="H14" s="142" t="n">
        <v>4</v>
      </c>
      <c r="I14" s="73" t="n"/>
      <c r="J14" s="72" t="n"/>
      <c r="K14" s="121" t="n"/>
      <c r="L14" s="142" t="n"/>
      <c r="M14" s="189" t="n"/>
      <c r="N14" s="168" t="n"/>
      <c r="O14" s="410" t="n"/>
      <c r="P14" s="411" t="n"/>
    </row>
    <row r="15" ht="15.6" customHeight="1">
      <c r="A15" s="405" t="n"/>
      <c r="B15" s="406" t="n"/>
      <c r="C15" s="157" t="inlineStr">
        <is>
          <t>일반</t>
        </is>
      </c>
      <c r="D15" s="190" t="inlineStr">
        <is>
          <t>대수</t>
        </is>
      </c>
      <c r="E15" s="204">
        <f>IFERROR(VLOOKUP(D15, 기본학점, 2, FALSE), "")</f>
        <v/>
      </c>
      <c r="F15" s="162" t="n">
        <v>4</v>
      </c>
      <c r="G15" s="121" t="n"/>
      <c r="H15" s="142" t="n"/>
      <c r="I15" s="73" t="n">
        <v>4</v>
      </c>
      <c r="J15" s="72" t="n"/>
      <c r="K15" s="121" t="n"/>
      <c r="L15" s="142" t="n"/>
      <c r="M15" s="189" t="n"/>
      <c r="N15" s="168" t="n"/>
      <c r="O15" s="410" t="n"/>
      <c r="P15" s="411" t="n"/>
    </row>
    <row r="16" ht="15.6" customHeight="1">
      <c r="A16" s="405" t="n"/>
      <c r="B16" s="406" t="n"/>
      <c r="C16" s="157" t="inlineStr">
        <is>
          <t>일반</t>
        </is>
      </c>
      <c r="D16" s="190" t="inlineStr">
        <is>
          <t>미적분Ⅰ</t>
        </is>
      </c>
      <c r="E16" s="204">
        <f>IFERROR(VLOOKUP(D16, 기본학점, 2, FALSE), "")</f>
        <v/>
      </c>
      <c r="F16" s="162" t="n">
        <v>4</v>
      </c>
      <c r="G16" s="121" t="n"/>
      <c r="H16" s="142" t="n"/>
      <c r="I16" s="73" t="n"/>
      <c r="J16" s="72" t="n">
        <v>4</v>
      </c>
      <c r="K16" s="121" t="n"/>
      <c r="L16" s="142" t="n"/>
      <c r="M16" s="189" t="n"/>
      <c r="N16" s="168" t="n"/>
      <c r="O16" s="410" t="n"/>
      <c r="P16" s="411" t="n"/>
    </row>
    <row r="17" ht="15.6" customHeight="1">
      <c r="A17" s="405" t="n"/>
      <c r="B17" s="406" t="n"/>
      <c r="C17" s="157" t="inlineStr">
        <is>
          <t>일반</t>
        </is>
      </c>
      <c r="D17" s="190" t="inlineStr">
        <is>
          <t>확률과 통계</t>
        </is>
      </c>
      <c r="E17" s="204">
        <f>IFERROR(VLOOKUP(D17, 기본학점, 2, FALSE), "")</f>
        <v/>
      </c>
      <c r="F17" s="162" t="n">
        <v>3</v>
      </c>
      <c r="G17" s="121" t="n"/>
      <c r="H17" s="142" t="n"/>
      <c r="I17" s="73" t="n">
        <v>3</v>
      </c>
      <c r="J17" s="72" t="n"/>
      <c r="K17" s="73" t="n"/>
      <c r="L17" s="72" t="n"/>
      <c r="M17" s="189" t="n"/>
      <c r="N17" s="168" t="n"/>
      <c r="O17" s="410" t="n"/>
      <c r="P17" s="411" t="n"/>
    </row>
    <row r="18" ht="15.6" customHeight="1">
      <c r="A18" s="405" t="n"/>
      <c r="B18" s="426" t="inlineStr">
        <is>
          <t>영 어</t>
        </is>
      </c>
      <c r="C18" s="75" t="inlineStr">
        <is>
          <t>공통</t>
        </is>
      </c>
      <c r="D18" s="193" t="inlineStr">
        <is>
          <t>공통영어1</t>
        </is>
      </c>
      <c r="E18" s="210">
        <f>IFERROR(VLOOKUP(D18, 기본학점, 2, FALSE), "")</f>
        <v/>
      </c>
      <c r="F18" s="161" t="n">
        <v>3</v>
      </c>
      <c r="G18" s="135" t="n">
        <v>3</v>
      </c>
      <c r="H18" s="143" t="n"/>
      <c r="I18" s="77" t="n"/>
      <c r="J18" s="76" t="n"/>
      <c r="K18" s="77" t="n"/>
      <c r="L18" s="76" t="n"/>
      <c r="M18" s="194" t="n"/>
      <c r="N18" s="170" t="n"/>
      <c r="O18" s="314">
        <f>SUM(F18:F23)</f>
        <v/>
      </c>
      <c r="P18" s="427" t="n">
        <v>8</v>
      </c>
    </row>
    <row r="19" ht="15.6" customHeight="1">
      <c r="A19" s="405" t="n"/>
      <c r="B19" s="406" t="n"/>
      <c r="C19" s="157" t="inlineStr">
        <is>
          <t>공통</t>
        </is>
      </c>
      <c r="D19" s="190" t="inlineStr">
        <is>
          <t>공통영어2</t>
        </is>
      </c>
      <c r="E19" s="204">
        <f>IFERROR(VLOOKUP(D19, 기본학점, 2, FALSE), "")</f>
        <v/>
      </c>
      <c r="F19" s="162" t="n">
        <v>3</v>
      </c>
      <c r="G19" s="136" t="n"/>
      <c r="H19" s="142" t="n">
        <v>3</v>
      </c>
      <c r="I19" s="73" t="n"/>
      <c r="J19" s="72" t="n"/>
      <c r="K19" s="73" t="n"/>
      <c r="L19" s="72" t="n"/>
      <c r="M19" s="189" t="n"/>
      <c r="N19" s="168" t="n"/>
      <c r="O19" s="410" t="n"/>
      <c r="P19" s="411" t="n"/>
    </row>
    <row r="20" ht="15.6" customHeight="1">
      <c r="A20" s="405" t="n"/>
      <c r="B20" s="406" t="n"/>
      <c r="C20" s="157" t="inlineStr">
        <is>
          <t>일반</t>
        </is>
      </c>
      <c r="D20" s="190" t="inlineStr">
        <is>
          <t>영어Ⅰ</t>
        </is>
      </c>
      <c r="E20" s="204">
        <f>IFERROR(VLOOKUP(D20, 기본학점, 2, FALSE), "")</f>
        <v/>
      </c>
      <c r="F20" s="162" t="n">
        <v>4</v>
      </c>
      <c r="G20" s="136" t="n"/>
      <c r="H20" s="142" t="n"/>
      <c r="I20" s="73" t="n">
        <v>4</v>
      </c>
      <c r="J20" s="72" t="n"/>
      <c r="K20" s="73" t="n"/>
      <c r="L20" s="72" t="n"/>
      <c r="M20" s="189" t="n"/>
      <c r="N20" s="168" t="n"/>
      <c r="O20" s="410" t="n"/>
      <c r="P20" s="411" t="n"/>
    </row>
    <row r="21" ht="15.6" customHeight="1">
      <c r="A21" s="405" t="n"/>
      <c r="B21" s="406" t="n"/>
      <c r="C21" s="157" t="inlineStr">
        <is>
          <t>일반</t>
        </is>
      </c>
      <c r="D21" s="190" t="inlineStr">
        <is>
          <t>영어Ⅱ</t>
        </is>
      </c>
      <c r="E21" s="204">
        <f>IFERROR(VLOOKUP(D21, 기본학점, 2, FALSE), "")</f>
        <v/>
      </c>
      <c r="F21" s="162" t="n">
        <v>4</v>
      </c>
      <c r="G21" s="136" t="n"/>
      <c r="H21" s="142" t="n"/>
      <c r="I21" s="73" t="n"/>
      <c r="J21" s="72" t="n">
        <v>4</v>
      </c>
      <c r="K21" s="73" t="n"/>
      <c r="L21" s="72" t="n"/>
      <c r="M21" s="189" t="n"/>
      <c r="N21" s="168" t="n"/>
      <c r="O21" s="410" t="n"/>
      <c r="P21" s="411" t="n"/>
    </row>
    <row r="22" ht="15.6" customHeight="1">
      <c r="A22" s="405" t="n"/>
      <c r="B22" s="406" t="n"/>
      <c r="C22" s="157" t="inlineStr">
        <is>
          <t>일반</t>
        </is>
      </c>
      <c r="D22" s="190" t="inlineStr">
        <is>
          <t>영어 독해와 작문</t>
        </is>
      </c>
      <c r="E22" s="204">
        <f>IFERROR(VLOOKUP(D22, 기본학점, 2, FALSE), "")</f>
        <v/>
      </c>
      <c r="F22" s="162" t="n">
        <v>4</v>
      </c>
      <c r="G22" s="136" t="n"/>
      <c r="H22" s="142" t="n"/>
      <c r="I22" s="73" t="n"/>
      <c r="J22" s="72" t="n"/>
      <c r="K22" s="73" t="n">
        <v>4</v>
      </c>
      <c r="L22" s="72" t="n"/>
      <c r="M22" s="189" t="n"/>
      <c r="N22" s="168" t="n"/>
      <c r="O22" s="410" t="n"/>
      <c r="P22" s="411" t="n"/>
    </row>
    <row r="23" ht="15.6" customHeight="1">
      <c r="A23" s="405" t="n"/>
      <c r="B23" s="423" t="n"/>
      <c r="C23" s="106" t="inlineStr">
        <is>
          <t>진로</t>
        </is>
      </c>
      <c r="D23" s="191" t="inlineStr">
        <is>
          <t xml:space="preserve">심화 영어 독해와 작문 </t>
        </is>
      </c>
      <c r="E23" s="159">
        <f>IFERROR(VLOOKUP(D23, 기본학점, 2, FALSE), "")</f>
        <v/>
      </c>
      <c r="F23" s="122" t="n">
        <v>4</v>
      </c>
      <c r="G23" s="201" t="n"/>
      <c r="H23" s="202" t="n"/>
      <c r="I23" s="83" t="n"/>
      <c r="J23" s="84" t="n"/>
      <c r="K23" s="83" t="n"/>
      <c r="L23" s="84" t="n">
        <v>4</v>
      </c>
      <c r="M23" s="191" t="n"/>
      <c r="N23" s="106" t="n"/>
      <c r="O23" s="410" t="n"/>
      <c r="P23" s="425" t="n"/>
    </row>
    <row r="24" ht="15.6" customHeight="1">
      <c r="A24" s="405" t="n"/>
      <c r="B24" s="326" t="inlineStr">
        <is>
          <t>사 회
(역사/도덕 포함)</t>
        </is>
      </c>
      <c r="C24" s="115" t="inlineStr">
        <is>
          <t>공통</t>
        </is>
      </c>
      <c r="D24" s="193" t="inlineStr">
        <is>
          <t>한국사1</t>
        </is>
      </c>
      <c r="E24" s="210">
        <f>IFERROR(VLOOKUP(D24, 기본학점, 2, FALSE), "")</f>
        <v/>
      </c>
      <c r="F24" s="161" t="n">
        <v>3</v>
      </c>
      <c r="G24" s="135" t="n">
        <v>3</v>
      </c>
      <c r="H24" s="143" t="n"/>
      <c r="I24" s="77" t="n"/>
      <c r="J24" s="76" t="n"/>
      <c r="K24" s="77" t="n"/>
      <c r="L24" s="78" t="n"/>
      <c r="M24" s="194" t="n"/>
      <c r="N24" s="170" t="n"/>
      <c r="O24" s="428">
        <f>SUM(F24:F25)</f>
        <v/>
      </c>
      <c r="P24" s="427" t="n">
        <v>6</v>
      </c>
    </row>
    <row r="25" ht="15.6" customHeight="1">
      <c r="A25" s="405" t="n"/>
      <c r="B25" s="406" t="n"/>
      <c r="C25" s="114" t="inlineStr">
        <is>
          <t>공통</t>
        </is>
      </c>
      <c r="D25" s="195" t="inlineStr">
        <is>
          <t>한국사2</t>
        </is>
      </c>
      <c r="E25" s="181">
        <f>IFERROR(VLOOKUP(D25, 기본학점, 2, FALSE), "")</f>
        <v/>
      </c>
      <c r="F25" s="160" t="n">
        <v>3</v>
      </c>
      <c r="G25" s="137" t="n"/>
      <c r="H25" s="144" t="n">
        <v>3</v>
      </c>
      <c r="I25" s="80" t="n"/>
      <c r="J25" s="79" t="n"/>
      <c r="K25" s="80" t="n"/>
      <c r="L25" s="79" t="n"/>
      <c r="M25" s="195" t="n"/>
      <c r="N25" s="114" t="n"/>
      <c r="O25" s="429" t="n"/>
      <c r="P25" s="425" t="n"/>
    </row>
    <row r="26" ht="15.6" customHeight="1">
      <c r="A26" s="405" t="n"/>
      <c r="B26" s="406" t="n"/>
      <c r="C26" s="75" t="inlineStr">
        <is>
          <t>공통</t>
        </is>
      </c>
      <c r="D26" s="193" t="inlineStr">
        <is>
          <t>통합사회1</t>
        </is>
      </c>
      <c r="E26" s="210">
        <f>IFERROR(VLOOKUP(D26, 기본학점, 2, FALSE), "")</f>
        <v/>
      </c>
      <c r="F26" s="161" t="n">
        <v>4</v>
      </c>
      <c r="G26" s="135" t="n">
        <v>4</v>
      </c>
      <c r="H26" s="143" t="n"/>
      <c r="I26" s="77" t="n"/>
      <c r="J26" s="76" t="n"/>
      <c r="K26" s="77" t="n"/>
      <c r="L26" s="78" t="n"/>
      <c r="M26" s="194" t="n"/>
      <c r="N26" s="75" t="n"/>
      <c r="O26" s="314">
        <f>SUM(F26:F27)</f>
        <v/>
      </c>
      <c r="P26" s="342" t="n">
        <v>8</v>
      </c>
    </row>
    <row r="27" ht="15.6" customHeight="1">
      <c r="A27" s="405" t="n"/>
      <c r="B27" s="406" t="n"/>
      <c r="C27" s="157" t="inlineStr">
        <is>
          <t>공통</t>
        </is>
      </c>
      <c r="D27" s="190" t="inlineStr">
        <is>
          <t>통합사회2</t>
        </is>
      </c>
      <c r="E27" s="204">
        <f>IFERROR(VLOOKUP(D27, 기본학점, 2, FALSE), "")</f>
        <v/>
      </c>
      <c r="F27" s="162" t="n">
        <v>4</v>
      </c>
      <c r="G27" s="136" t="n"/>
      <c r="H27" s="142" t="n">
        <v>4</v>
      </c>
      <c r="I27" s="73" t="n"/>
      <c r="J27" s="72" t="n"/>
      <c r="K27" s="73" t="n"/>
      <c r="L27" s="74" t="n"/>
      <c r="M27" s="189" t="n"/>
      <c r="N27" s="157" t="n"/>
      <c r="O27" s="410" t="n"/>
      <c r="P27" s="411" t="n"/>
    </row>
    <row r="28" ht="15.6" customHeight="1">
      <c r="A28" s="405" t="n"/>
      <c r="B28" s="326" t="inlineStr">
        <is>
          <t>과 학</t>
        </is>
      </c>
      <c r="C28" s="75" t="inlineStr">
        <is>
          <t>공통</t>
        </is>
      </c>
      <c r="D28" s="193" t="inlineStr">
        <is>
          <t>통합과학1</t>
        </is>
      </c>
      <c r="E28" s="210">
        <f>IFERROR(VLOOKUP(D28, 기본학점, 2, FALSE), "")</f>
        <v/>
      </c>
      <c r="F28" s="161" t="n">
        <v>4</v>
      </c>
      <c r="G28" s="135" t="n">
        <v>4</v>
      </c>
      <c r="H28" s="143" t="n"/>
      <c r="I28" s="77" t="n"/>
      <c r="J28" s="76" t="n"/>
      <c r="K28" s="85" t="n"/>
      <c r="L28" s="86" t="n"/>
      <c r="M28" s="194" t="n"/>
      <c r="N28" s="75" t="n"/>
      <c r="O28" s="314">
        <f>SUM(F28:F31)</f>
        <v/>
      </c>
      <c r="P28" s="342" t="n">
        <v>10</v>
      </c>
    </row>
    <row r="29" ht="15.6" customHeight="1">
      <c r="A29" s="405" t="n"/>
      <c r="B29" s="406" t="n"/>
      <c r="C29" s="113" t="inlineStr">
        <is>
          <t>공통</t>
        </is>
      </c>
      <c r="D29" s="190" t="inlineStr">
        <is>
          <t>통합과학2</t>
        </is>
      </c>
      <c r="E29" s="204">
        <f>IFERROR(VLOOKUP(D29, 기본학점, 2, FALSE), "")</f>
        <v/>
      </c>
      <c r="F29" s="162" t="n">
        <v>4</v>
      </c>
      <c r="G29" s="136" t="n"/>
      <c r="H29" s="142" t="n">
        <v>4</v>
      </c>
      <c r="I29" s="73" t="n"/>
      <c r="J29" s="72" t="n"/>
      <c r="K29" s="87" t="n"/>
      <c r="L29" s="88" t="n"/>
      <c r="M29" s="189" t="n"/>
      <c r="N29" s="168" t="n"/>
      <c r="O29" s="410" t="n"/>
      <c r="P29" s="411" t="n"/>
    </row>
    <row r="30" ht="15.6" customHeight="1">
      <c r="A30" s="405" t="n"/>
      <c r="B30" s="406" t="n"/>
      <c r="C30" s="157" t="inlineStr">
        <is>
          <t>공통</t>
        </is>
      </c>
      <c r="D30" s="190" t="inlineStr">
        <is>
          <t>과학탐구실험1</t>
        </is>
      </c>
      <c r="E30" s="204">
        <f>IFERROR(VLOOKUP(D30, 기본학점, 2, FALSE), "")</f>
        <v/>
      </c>
      <c r="F30" s="162" t="n">
        <v>1</v>
      </c>
      <c r="G30" s="136" t="n">
        <v>1</v>
      </c>
      <c r="H30" s="142" t="n"/>
      <c r="I30" s="73" t="n"/>
      <c r="J30" s="72" t="n"/>
      <c r="K30" s="87" t="n"/>
      <c r="L30" s="88" t="n"/>
      <c r="M30" s="189" t="n"/>
      <c r="N30" s="168" t="n"/>
      <c r="O30" s="410" t="n"/>
      <c r="P30" s="411" t="n"/>
    </row>
    <row r="31" ht="15.6" customHeight="1">
      <c r="A31" s="405" t="n"/>
      <c r="B31" s="406" t="n"/>
      <c r="C31" s="157" t="inlineStr">
        <is>
          <t>공통</t>
        </is>
      </c>
      <c r="D31" s="190" t="inlineStr">
        <is>
          <t>과학탐구실험2</t>
        </is>
      </c>
      <c r="E31" s="204">
        <f>IFERROR(VLOOKUP(D31, 기본학점, 2, FALSE), "")</f>
        <v/>
      </c>
      <c r="F31" s="162" t="n">
        <v>1</v>
      </c>
      <c r="G31" s="136" t="n"/>
      <c r="H31" s="142" t="n">
        <v>1</v>
      </c>
      <c r="I31" s="73" t="n"/>
      <c r="J31" s="72" t="n"/>
      <c r="K31" s="87" t="n"/>
      <c r="L31" s="88" t="n"/>
      <c r="M31" s="189" t="n"/>
      <c r="N31" s="168" t="n"/>
      <c r="O31" s="410" t="n"/>
      <c r="P31" s="411" t="n"/>
    </row>
    <row r="32" ht="15.6" customHeight="1">
      <c r="A32" s="405" t="n"/>
      <c r="B32" s="326" t="inlineStr">
        <is>
          <t>체 육</t>
        </is>
      </c>
      <c r="C32" s="75" t="inlineStr">
        <is>
          <t>일반</t>
        </is>
      </c>
      <c r="D32" s="193" t="inlineStr">
        <is>
          <t>체육1</t>
        </is>
      </c>
      <c r="E32" s="210">
        <f>IFERROR(VLOOKUP(D32, 기본학점, 2, FALSE), "")</f>
        <v/>
      </c>
      <c r="F32" s="158" t="n">
        <v>2</v>
      </c>
      <c r="G32" s="119" t="n">
        <v>2</v>
      </c>
      <c r="H32" s="143" t="n"/>
      <c r="I32" s="77" t="n"/>
      <c r="J32" s="76" t="n"/>
      <c r="K32" s="77" t="n"/>
      <c r="L32" s="78" t="n"/>
      <c r="M32" s="194" t="n"/>
      <c r="N32" s="75" t="n"/>
      <c r="O32" s="314">
        <f>SUM(F32:F37)</f>
        <v/>
      </c>
      <c r="P32" s="342" t="n">
        <v>10</v>
      </c>
      <c r="R32" s="6" t="n"/>
      <c r="S32" s="6" t="n"/>
      <c r="T32" s="6" t="n"/>
    </row>
    <row r="33" ht="15.6" customHeight="1">
      <c r="A33" s="405" t="n"/>
      <c r="B33" s="406" t="n"/>
      <c r="C33" s="157" t="inlineStr">
        <is>
          <t>일반</t>
        </is>
      </c>
      <c r="D33" s="190" t="inlineStr">
        <is>
          <t>체육2</t>
        </is>
      </c>
      <c r="E33" s="204">
        <f>IFERROR(VLOOKUP(D33, 기본학점, 2, FALSE), "")</f>
        <v/>
      </c>
      <c r="F33" s="162" t="n">
        <v>2</v>
      </c>
      <c r="G33" s="121" t="n"/>
      <c r="H33" s="142" t="n">
        <v>2</v>
      </c>
      <c r="I33" s="73" t="n"/>
      <c r="J33" s="72" t="n"/>
      <c r="K33" s="73" t="n"/>
      <c r="L33" s="74" t="n"/>
      <c r="M33" s="189" t="n"/>
      <c r="N33" s="168" t="n"/>
      <c r="O33" s="410" t="n"/>
      <c r="P33" s="411" t="n"/>
      <c r="R33" s="6" t="n"/>
      <c r="S33" s="6" t="n"/>
      <c r="T33" s="6" t="n"/>
    </row>
    <row r="34" ht="15.6" customHeight="1">
      <c r="A34" s="405" t="n"/>
      <c r="B34" s="406" t="n"/>
      <c r="C34" s="157" t="inlineStr">
        <is>
          <t>융합</t>
        </is>
      </c>
      <c r="D34" s="190" t="inlineStr">
        <is>
          <t xml:space="preserve">스포츠 생활1 </t>
        </is>
      </c>
      <c r="E34" s="204">
        <f>IFERROR(VLOOKUP(D34, 기본학점, 2, FALSE), "")</f>
        <v/>
      </c>
      <c r="F34" s="162" t="n">
        <v>2</v>
      </c>
      <c r="G34" s="121" t="n"/>
      <c r="H34" s="142" t="n"/>
      <c r="I34" s="73" t="n">
        <v>2</v>
      </c>
      <c r="J34" s="72" t="n"/>
      <c r="K34" s="73" t="n"/>
      <c r="L34" s="74" t="n"/>
      <c r="M34" s="189" t="n"/>
      <c r="N34" s="168" t="n"/>
      <c r="O34" s="410" t="n"/>
      <c r="P34" s="411" t="n"/>
      <c r="R34" s="6" t="n"/>
      <c r="S34" s="6" t="n"/>
      <c r="T34" s="6" t="n"/>
    </row>
    <row r="35" ht="15.6" customHeight="1">
      <c r="A35" s="405" t="n"/>
      <c r="B35" s="406" t="n"/>
      <c r="C35" s="157" t="inlineStr">
        <is>
          <t>융합</t>
        </is>
      </c>
      <c r="D35" s="190" t="inlineStr">
        <is>
          <t xml:space="preserve">스포츠 생활2 </t>
        </is>
      </c>
      <c r="E35" s="204">
        <f>IFERROR(VLOOKUP(D35, 기본학점, 2, FALSE), "")</f>
        <v/>
      </c>
      <c r="F35" s="162" t="n">
        <v>2</v>
      </c>
      <c r="G35" s="121" t="n"/>
      <c r="H35" s="142" t="n"/>
      <c r="I35" s="73" t="n"/>
      <c r="J35" s="72" t="n">
        <v>2</v>
      </c>
      <c r="K35" s="73" t="n"/>
      <c r="L35" s="74" t="n"/>
      <c r="M35" s="189" t="n"/>
      <c r="N35" s="168" t="n"/>
      <c r="O35" s="410" t="n"/>
      <c r="P35" s="411" t="n"/>
      <c r="R35" s="6" t="n"/>
      <c r="S35" s="6" t="n"/>
      <c r="T35" s="6" t="n"/>
    </row>
    <row r="36" ht="15.6" customHeight="1">
      <c r="A36" s="405" t="n"/>
      <c r="B36" s="406" t="n"/>
      <c r="C36" s="157" t="inlineStr">
        <is>
          <t>진로</t>
        </is>
      </c>
      <c r="D36" s="190" t="inlineStr">
        <is>
          <t xml:space="preserve">운동과 건강 </t>
        </is>
      </c>
      <c r="E36" s="204">
        <f>IFERROR(VLOOKUP(D36, 기본학점, 2, FALSE), "")</f>
        <v/>
      </c>
      <c r="F36" s="162" t="n">
        <v>2</v>
      </c>
      <c r="G36" s="121" t="n"/>
      <c r="H36" s="142" t="n"/>
      <c r="I36" s="73" t="n"/>
      <c r="J36" s="72" t="n"/>
      <c r="K36" s="73" t="n">
        <v>2</v>
      </c>
      <c r="L36" s="74" t="n"/>
      <c r="M36" s="189" t="n"/>
      <c r="N36" s="168" t="n"/>
      <c r="O36" s="410" t="n"/>
      <c r="P36" s="411" t="n"/>
      <c r="R36" s="6" t="n"/>
      <c r="S36" s="6" t="n"/>
      <c r="T36" s="6" t="n"/>
    </row>
    <row r="37" ht="15.6" customHeight="1">
      <c r="A37" s="405" t="n"/>
      <c r="B37" s="406" t="n"/>
      <c r="C37" s="157" t="inlineStr">
        <is>
          <t>진로</t>
        </is>
      </c>
      <c r="D37" s="190" t="inlineStr">
        <is>
          <t>스포츠 과학</t>
        </is>
      </c>
      <c r="E37" s="204">
        <f>IFERROR(VLOOKUP(D37, 기본학점, 2, FALSE), "")</f>
        <v/>
      </c>
      <c r="F37" s="162" t="n">
        <v>2</v>
      </c>
      <c r="G37" s="136" t="n"/>
      <c r="H37" s="142" t="n"/>
      <c r="I37" s="73" t="n"/>
      <c r="J37" s="72" t="n"/>
      <c r="K37" s="73" t="n"/>
      <c r="L37" s="74" t="n">
        <v>2</v>
      </c>
      <c r="M37" s="189" t="n"/>
      <c r="N37" s="168" t="n"/>
      <c r="O37" s="410" t="n"/>
      <c r="P37" s="411" t="n"/>
      <c r="R37" s="6" t="n"/>
      <c r="S37" s="6" t="n"/>
      <c r="T37" s="6" t="n"/>
    </row>
    <row r="38" ht="15.6" customHeight="1">
      <c r="A38" s="405" t="n"/>
      <c r="B38" s="430" t="inlineStr">
        <is>
          <t>예 술</t>
        </is>
      </c>
      <c r="C38" s="75" t="inlineStr">
        <is>
          <t>일반</t>
        </is>
      </c>
      <c r="D38" s="193" t="inlineStr">
        <is>
          <t>음악</t>
        </is>
      </c>
      <c r="E38" s="210">
        <f>IFERROR(VLOOKUP(D38, 기본학점, 2, FALSE), "")</f>
        <v/>
      </c>
      <c r="F38" s="161" t="n">
        <v>3</v>
      </c>
      <c r="G38" s="119" t="n">
        <v>3</v>
      </c>
      <c r="H38" s="143" t="n"/>
      <c r="I38" s="77" t="n"/>
      <c r="J38" s="76" t="n"/>
      <c r="K38" s="77" t="n"/>
      <c r="L38" s="78" t="n"/>
      <c r="M38" s="194" t="n"/>
      <c r="N38" s="75" t="n"/>
      <c r="O38" s="431">
        <f>SUM(F38:F41)</f>
        <v/>
      </c>
      <c r="P38" s="432" t="n">
        <v>10</v>
      </c>
      <c r="R38" s="6" t="n"/>
      <c r="S38" s="6" t="n"/>
      <c r="T38" s="6" t="n"/>
    </row>
    <row r="39" ht="15.6" customHeight="1">
      <c r="A39" s="405" t="n"/>
      <c r="B39" s="406" t="n"/>
      <c r="C39" s="157" t="inlineStr">
        <is>
          <t>진로</t>
        </is>
      </c>
      <c r="D39" s="190" t="inlineStr">
        <is>
          <t>음악 연주와 창작</t>
        </is>
      </c>
      <c r="E39" s="204">
        <f>IFERROR(VLOOKUP(D39, 기본학점, 2, FALSE), "")</f>
        <v/>
      </c>
      <c r="F39" s="162" t="n">
        <v>3</v>
      </c>
      <c r="G39" s="121" t="n"/>
      <c r="H39" s="142" t="n">
        <v>3</v>
      </c>
      <c r="I39" s="73" t="n"/>
      <c r="J39" s="72" t="n"/>
      <c r="K39" s="73" t="n"/>
      <c r="L39" s="74" t="n"/>
      <c r="M39" s="189" t="n"/>
      <c r="N39" s="168" t="n"/>
      <c r="O39" s="407" t="n"/>
      <c r="P39" s="411" t="n"/>
      <c r="R39" s="6" t="n"/>
      <c r="S39" s="6" t="n"/>
      <c r="T39" s="6" t="n"/>
    </row>
    <row r="40" ht="15.6" customHeight="1">
      <c r="A40" s="405" t="n"/>
      <c r="B40" s="406" t="n"/>
      <c r="C40" s="157" t="inlineStr">
        <is>
          <t>일반</t>
        </is>
      </c>
      <c r="D40" s="190" t="inlineStr">
        <is>
          <t>미술</t>
        </is>
      </c>
      <c r="E40" s="204">
        <f>IFERROR(VLOOKUP(D40, 기본학점, 2, FALSE), "")</f>
        <v/>
      </c>
      <c r="F40" s="162" t="n">
        <v>2</v>
      </c>
      <c r="G40" s="121" t="n">
        <v>2</v>
      </c>
      <c r="H40" s="142" t="n"/>
      <c r="I40" s="73" t="n"/>
      <c r="J40" s="72" t="n"/>
      <c r="K40" s="73" t="n"/>
      <c r="L40" s="74" t="n"/>
      <c r="M40" s="189" t="n"/>
      <c r="N40" s="168" t="n"/>
      <c r="O40" s="407" t="n"/>
      <c r="P40" s="411" t="n"/>
      <c r="R40" s="6" t="n"/>
      <c r="S40" s="6" t="n"/>
      <c r="T40" s="6" t="n"/>
    </row>
    <row r="41" ht="15.6" customHeight="1" thickBot="1">
      <c r="A41" s="412" t="n"/>
      <c r="B41" s="413" t="n"/>
      <c r="C41" s="105" t="inlineStr">
        <is>
          <t>진로</t>
        </is>
      </c>
      <c r="D41" s="227" t="inlineStr">
        <is>
          <t xml:space="preserve">미술 창작 </t>
        </is>
      </c>
      <c r="E41" s="228">
        <f>IFERROR(VLOOKUP(D41, 기본학점, 2, FALSE), "")</f>
        <v/>
      </c>
      <c r="F41" s="229" t="n">
        <v>2</v>
      </c>
      <c r="G41" s="230" t="n"/>
      <c r="H41" s="231" t="n">
        <v>2</v>
      </c>
      <c r="I41" s="232" t="n"/>
      <c r="J41" s="233" t="n"/>
      <c r="K41" s="232" t="n"/>
      <c r="L41" s="234" t="n"/>
      <c r="M41" s="196" t="n"/>
      <c r="N41" s="235" t="n"/>
      <c r="O41" s="414" t="n"/>
      <c r="P41" s="418" t="n"/>
      <c r="R41" s="6" t="n"/>
      <c r="S41" s="6" t="n"/>
      <c r="T41" s="6" t="n"/>
    </row>
    <row r="42" ht="15.6" customHeight="1">
      <c r="A42" s="419" t="inlineStr">
        <is>
          <t xml:space="preserve">2
학년선택 </t>
        </is>
      </c>
      <c r="B42" s="341" t="inlineStr">
        <is>
          <t>사 회
(역사/도덕 포함)</t>
        </is>
      </c>
      <c r="C42" s="34" t="inlineStr">
        <is>
          <t>일반</t>
        </is>
      </c>
      <c r="D42" s="219" t="inlineStr">
        <is>
          <t>세계시민과 지리</t>
        </is>
      </c>
      <c r="E42" s="117">
        <f>IFERROR(VLOOKUP(D42, 기본학점, 2, FALSE), "")</f>
        <v/>
      </c>
      <c r="F42" s="220" t="n">
        <v>3</v>
      </c>
      <c r="G42" s="49" t="n"/>
      <c r="H42" s="221" t="n"/>
      <c r="I42" s="347" t="inlineStr">
        <is>
          <t>9
(택3)</t>
        </is>
      </c>
      <c r="J42" s="222" t="n"/>
      <c r="K42" s="223" t="n"/>
      <c r="L42" s="224" t="n"/>
      <c r="M42" s="225" t="n"/>
      <c r="N42" s="226" t="n"/>
      <c r="O42" s="319" t="n">
        <v>9</v>
      </c>
      <c r="P42" s="252" t="n"/>
    </row>
    <row r="43" ht="15.6" customHeight="1">
      <c r="A43" s="405" t="n"/>
      <c r="B43" s="410" t="n"/>
      <c r="C43" s="10" t="inlineStr">
        <is>
          <t>일반</t>
        </is>
      </c>
      <c r="D43" s="190" t="inlineStr">
        <is>
          <t>현대사회와 윤리</t>
        </is>
      </c>
      <c r="E43" s="204">
        <f>IFERROR(VLOOKUP(D43, 기본학점, 2, FALSE), "")</f>
        <v/>
      </c>
      <c r="F43" s="121" t="n">
        <v>3</v>
      </c>
      <c r="G43" s="50" t="n"/>
      <c r="H43" s="152" t="n"/>
      <c r="I43" s="407" t="n"/>
      <c r="J43" s="40" t="n"/>
      <c r="K43" s="41" t="n"/>
      <c r="L43" s="42" t="n"/>
      <c r="M43" s="197" t="n"/>
      <c r="N43" s="168" t="n"/>
      <c r="O43" s="407" t="n"/>
      <c r="P43" s="252" t="n"/>
    </row>
    <row r="44" ht="15.6" customHeight="1">
      <c r="A44" s="405" t="n"/>
      <c r="B44" s="410" t="n"/>
      <c r="C44" s="10" t="inlineStr">
        <is>
          <t>진로</t>
        </is>
      </c>
      <c r="D44" s="190" t="inlineStr">
        <is>
          <t>동아시아 역사 기행</t>
        </is>
      </c>
      <c r="E44" s="204">
        <f>IFERROR(VLOOKUP(D44, 기본학점, 2, FALSE), "")</f>
        <v/>
      </c>
      <c r="F44" s="121" t="n">
        <v>3</v>
      </c>
      <c r="G44" s="50" t="n"/>
      <c r="H44" s="152" t="n"/>
      <c r="I44" s="407" t="n"/>
      <c r="J44" s="40" t="n"/>
      <c r="K44" s="41" t="n"/>
      <c r="L44" s="42" t="n"/>
      <c r="M44" s="197" t="n"/>
      <c r="N44" s="168" t="n"/>
      <c r="O44" s="407" t="n"/>
      <c r="P44" s="252" t="n"/>
    </row>
    <row r="45" ht="15.6" customHeight="1">
      <c r="A45" s="405" t="n"/>
      <c r="B45" s="410" t="n"/>
      <c r="C45" s="10" t="inlineStr">
        <is>
          <t>진로</t>
        </is>
      </c>
      <c r="D45" s="190" t="inlineStr">
        <is>
          <t>정치</t>
        </is>
      </c>
      <c r="E45" s="204">
        <f>IFERROR(VLOOKUP(D45, 기본학점, 2, FALSE), "")</f>
        <v/>
      </c>
      <c r="F45" s="121" t="n">
        <v>3</v>
      </c>
      <c r="G45" s="50" t="n"/>
      <c r="H45" s="152" t="n"/>
      <c r="I45" s="407" t="n"/>
      <c r="J45" s="40" t="n"/>
      <c r="K45" s="41" t="n"/>
      <c r="L45" s="42" t="n"/>
      <c r="M45" s="197" t="n"/>
      <c r="N45" s="168" t="n"/>
      <c r="O45" s="407" t="n"/>
      <c r="P45" s="252" t="n"/>
    </row>
    <row r="46" ht="15.6" customHeight="1">
      <c r="A46" s="405" t="n"/>
      <c r="B46" s="429" t="n"/>
      <c r="C46" s="20" t="inlineStr">
        <is>
          <t>진로</t>
        </is>
      </c>
      <c r="D46" s="195" t="inlineStr">
        <is>
          <t>경제</t>
        </is>
      </c>
      <c r="E46" s="159">
        <f>IFERROR(VLOOKUP(D46, 기본학점, 2, FALSE), "")</f>
        <v/>
      </c>
      <c r="F46" s="159" t="n">
        <v>3</v>
      </c>
      <c r="G46" s="124" t="n"/>
      <c r="H46" s="153" t="n"/>
      <c r="I46" s="407" t="n"/>
      <c r="J46" s="43" t="n"/>
      <c r="K46" s="44" t="n"/>
      <c r="L46" s="45" t="n"/>
      <c r="M46" s="191" t="n"/>
      <c r="N46" s="106" t="n"/>
      <c r="O46" s="407" t="n"/>
      <c r="P46" s="252" t="n"/>
    </row>
    <row r="47" ht="15.6" customHeight="1">
      <c r="A47" s="405" t="n"/>
      <c r="B47" s="340" t="inlineStr">
        <is>
          <t>과 학</t>
        </is>
      </c>
      <c r="C47" s="19" t="inlineStr">
        <is>
          <t>일반</t>
        </is>
      </c>
      <c r="D47" s="193" t="inlineStr">
        <is>
          <t>물리학</t>
        </is>
      </c>
      <c r="E47" s="210">
        <f>IFERROR(VLOOKUP(D47, 기본학점, 2, FALSE), "")</f>
        <v/>
      </c>
      <c r="F47" s="119" t="n">
        <v>3</v>
      </c>
      <c r="G47" s="123" t="n"/>
      <c r="H47" s="151" t="n"/>
      <c r="I47" s="407" t="n"/>
      <c r="J47" s="217" t="n"/>
      <c r="K47" s="15" t="n"/>
      <c r="L47" s="36" t="n"/>
      <c r="M47" s="198" t="n"/>
      <c r="N47" s="170" t="n"/>
      <c r="O47" s="407" t="n"/>
      <c r="P47" s="252" t="n"/>
    </row>
    <row r="48" ht="15.6" customHeight="1">
      <c r="A48" s="405" t="n"/>
      <c r="B48" s="410" t="n"/>
      <c r="C48" s="10" t="inlineStr">
        <is>
          <t>일반</t>
        </is>
      </c>
      <c r="D48" s="190" t="inlineStr">
        <is>
          <t>화학</t>
        </is>
      </c>
      <c r="E48" s="204">
        <f>IFERROR(VLOOKUP(D48, 기본학점, 2, FALSE), "")</f>
        <v/>
      </c>
      <c r="F48" s="121" t="n">
        <v>3</v>
      </c>
      <c r="G48" s="50" t="n"/>
      <c r="H48" s="152" t="n"/>
      <c r="I48" s="407" t="n"/>
      <c r="J48" s="218" t="n"/>
      <c r="K48" s="11" t="n"/>
      <c r="L48" s="39" t="n"/>
      <c r="M48" s="197" t="n"/>
      <c r="N48" s="168" t="n"/>
      <c r="O48" s="407" t="n"/>
      <c r="P48" s="252" t="n"/>
    </row>
    <row r="49" ht="15.6" customHeight="1">
      <c r="A49" s="405" t="n"/>
      <c r="B49" s="410" t="n"/>
      <c r="C49" s="10" t="inlineStr">
        <is>
          <t>일반</t>
        </is>
      </c>
      <c r="D49" s="190" t="inlineStr">
        <is>
          <t xml:space="preserve">생명과학 </t>
        </is>
      </c>
      <c r="E49" s="204">
        <f>IFERROR(VLOOKUP(D49, 기본학점, 2, FALSE), "")</f>
        <v/>
      </c>
      <c r="F49" s="121" t="n">
        <v>3</v>
      </c>
      <c r="G49" s="50" t="n"/>
      <c r="H49" s="152" t="n"/>
      <c r="I49" s="407" t="n"/>
      <c r="J49" s="218" t="n"/>
      <c r="K49" s="11" t="n"/>
      <c r="L49" s="39" t="n"/>
      <c r="M49" s="197" t="n"/>
      <c r="N49" s="168" t="n"/>
      <c r="O49" s="407" t="n"/>
      <c r="P49" s="252" t="n"/>
    </row>
    <row r="50" ht="15.6" customHeight="1">
      <c r="A50" s="405" t="n"/>
      <c r="B50" s="410" t="n"/>
      <c r="C50" s="10" t="inlineStr">
        <is>
          <t>일반</t>
        </is>
      </c>
      <c r="D50" s="190" t="inlineStr">
        <is>
          <t>지구과학</t>
        </is>
      </c>
      <c r="E50" s="204">
        <f>IFERROR(VLOOKUP(D50, 기본학점, 2, FALSE), "")</f>
        <v/>
      </c>
      <c r="F50" s="121" t="n">
        <v>3</v>
      </c>
      <c r="G50" s="50" t="n"/>
      <c r="H50" s="152" t="n"/>
      <c r="I50" s="424" t="n"/>
      <c r="J50" s="218" t="n"/>
      <c r="K50" s="11" t="n"/>
      <c r="L50" s="39" t="n"/>
      <c r="M50" s="197" t="n"/>
      <c r="N50" s="168" t="n"/>
      <c r="O50" s="407" t="n"/>
      <c r="P50" s="252" t="n"/>
    </row>
    <row r="51" ht="15.6" customHeight="1">
      <c r="A51" s="405" t="n"/>
      <c r="B51" s="333" t="inlineStr">
        <is>
          <t>기술∙가정/정보</t>
        </is>
      </c>
      <c r="C51" s="19" t="inlineStr">
        <is>
          <t>일반</t>
        </is>
      </c>
      <c r="D51" s="193" t="inlineStr">
        <is>
          <t>정보</t>
        </is>
      </c>
      <c r="E51" s="158">
        <f>IFERROR(VLOOKUP(D51, 기본학점, 2, FALSE), "")</f>
        <v/>
      </c>
      <c r="F51" s="158" t="n">
        <v>3</v>
      </c>
      <c r="G51" s="280" t="n"/>
      <c r="H51" s="280" t="n"/>
      <c r="I51" s="433" t="inlineStr">
        <is>
          <t>3
(택1)</t>
        </is>
      </c>
      <c r="J51" s="17" t="n"/>
      <c r="K51" s="17" t="n"/>
      <c r="L51" s="16" t="n"/>
      <c r="M51" s="198" t="n"/>
      <c r="N51" s="170" t="n"/>
      <c r="O51" s="368" t="n">
        <v>3</v>
      </c>
      <c r="P51" s="65" t="n">
        <v>16</v>
      </c>
    </row>
    <row r="52" ht="15.6" customHeight="1">
      <c r="A52" s="405" t="n"/>
      <c r="B52" s="429" t="n"/>
      <c r="C52" s="281" t="inlineStr">
        <is>
          <t>진로</t>
        </is>
      </c>
      <c r="D52" s="282" t="inlineStr">
        <is>
          <t>인공지능과 미래사회</t>
        </is>
      </c>
      <c r="E52" s="347" t="n">
        <v>4</v>
      </c>
      <c r="F52" s="347" t="n">
        <v>3</v>
      </c>
      <c r="G52" s="351" t="n"/>
      <c r="H52" s="351" t="n"/>
      <c r="I52" s="407" t="n"/>
      <c r="J52" s="283" t="n"/>
      <c r="K52" s="24" t="n"/>
      <c r="L52" s="284" t="n"/>
      <c r="M52" s="225" t="n"/>
      <c r="N52" s="226" t="inlineStr">
        <is>
          <t>공유캠퍼스</t>
        </is>
      </c>
      <c r="O52" s="407" t="n"/>
      <c r="P52" s="407" t="n"/>
    </row>
    <row r="53" ht="15.6" customHeight="1">
      <c r="A53" s="405" t="n"/>
      <c r="B53" s="333" t="inlineStr">
        <is>
          <t>제2외국어/한문</t>
        </is>
      </c>
      <c r="C53" s="19" t="inlineStr">
        <is>
          <t>일반</t>
        </is>
      </c>
      <c r="D53" s="193" t="inlineStr">
        <is>
          <t>중국어</t>
        </is>
      </c>
      <c r="E53" s="158">
        <f>IFERROR(VLOOKUP(D53, 기본학점, 2, FALSE), "")</f>
        <v/>
      </c>
      <c r="F53" s="158" t="n">
        <v>3</v>
      </c>
      <c r="G53" s="280" t="n"/>
      <c r="H53" s="280" t="n"/>
      <c r="I53" s="407" t="n"/>
      <c r="J53" s="46" t="n"/>
      <c r="K53" s="17" t="n"/>
      <c r="L53" s="16" t="n"/>
      <c r="M53" s="198" t="n"/>
      <c r="N53" s="75" t="n"/>
      <c r="O53" s="407" t="n"/>
      <c r="P53" s="407" t="n"/>
    </row>
    <row r="54" ht="15.6" customHeight="1">
      <c r="A54" s="405" t="n"/>
      <c r="B54" s="429" t="n"/>
      <c r="C54" s="281" t="inlineStr">
        <is>
          <t>일반</t>
        </is>
      </c>
      <c r="D54" s="282" t="inlineStr">
        <is>
          <t>일본어</t>
        </is>
      </c>
      <c r="E54" s="347" t="n">
        <v>4</v>
      </c>
      <c r="F54" s="347" t="n">
        <v>3</v>
      </c>
      <c r="G54" s="351" t="n"/>
      <c r="H54" s="351" t="n"/>
      <c r="I54" s="407" t="n"/>
      <c r="J54" s="22" t="n"/>
      <c r="K54" s="22" t="n"/>
      <c r="L54" s="21" t="n"/>
      <c r="M54" s="285" t="n"/>
      <c r="N54" s="106" t="n"/>
      <c r="O54" s="407" t="n"/>
      <c r="P54" s="407" t="n"/>
    </row>
    <row r="55" ht="15.6" customHeight="1">
      <c r="A55" s="405" t="n"/>
      <c r="B55" s="333" t="inlineStr">
        <is>
          <t>교 양</t>
        </is>
      </c>
      <c r="C55" s="19" t="inlineStr">
        <is>
          <t>융합</t>
        </is>
      </c>
      <c r="D55" s="193" t="inlineStr">
        <is>
          <t>수학과 논리적 사고</t>
        </is>
      </c>
      <c r="E55" s="158" t="n">
        <v>3</v>
      </c>
      <c r="F55" s="158" t="n">
        <v>3</v>
      </c>
      <c r="G55" s="280" t="n"/>
      <c r="H55" s="280" t="n"/>
      <c r="I55" s="407" t="n"/>
      <c r="J55" s="275" t="n"/>
      <c r="K55" s="178" t="n"/>
      <c r="L55" s="179" t="n"/>
      <c r="M55" s="273" t="n"/>
      <c r="N55" s="274" t="inlineStr">
        <is>
          <t>공유캠퍼스</t>
        </is>
      </c>
      <c r="O55" s="407" t="n"/>
      <c r="P55" s="407" t="n"/>
    </row>
    <row r="56" ht="15.6" customHeight="1" thickBot="1">
      <c r="A56" s="405" t="n"/>
      <c r="B56" s="429" t="n"/>
      <c r="C56" s="277" t="inlineStr">
        <is>
          <t>진로</t>
        </is>
      </c>
      <c r="D56" s="278" t="inlineStr">
        <is>
          <t>평화통일교육</t>
        </is>
      </c>
      <c r="E56" s="349" t="n">
        <v>3</v>
      </c>
      <c r="F56" s="349" t="n">
        <v>3</v>
      </c>
      <c r="G56" s="279" t="n"/>
      <c r="H56" s="279" t="n"/>
      <c r="I56" s="414" t="n"/>
      <c r="J56" s="239" t="n"/>
      <c r="K56" s="48" t="n"/>
      <c r="L56" s="47" t="n"/>
      <c r="M56" s="240" t="n"/>
      <c r="N56" s="173" t="inlineStr">
        <is>
          <t>공유캠퍼스</t>
        </is>
      </c>
      <c r="O56" s="407" t="n"/>
      <c r="P56" s="424" t="n"/>
    </row>
    <row r="57" ht="15.6" customHeight="1">
      <c r="A57" s="405" t="n"/>
      <c r="B57" s="339" t="inlineStr">
        <is>
          <t>수 학</t>
        </is>
      </c>
      <c r="C57" s="238" t="inlineStr">
        <is>
          <t>진로</t>
        </is>
      </c>
      <c r="D57" s="219" t="inlineStr">
        <is>
          <t>기하</t>
        </is>
      </c>
      <c r="E57" s="117">
        <f>IFERROR(VLOOKUP(D57, 기본학점, 2, FALSE), "")</f>
        <v/>
      </c>
      <c r="F57" s="118" t="n">
        <v>3</v>
      </c>
      <c r="G57" s="49" t="n"/>
      <c r="H57" s="150" t="n"/>
      <c r="I57" s="8" t="n"/>
      <c r="J57" s="351" t="inlineStr">
        <is>
          <t>3
(택1)</t>
        </is>
      </c>
      <c r="K57" s="24" t="n"/>
      <c r="L57" s="236" t="n"/>
      <c r="M57" s="225" t="n"/>
      <c r="N57" s="237" t="n"/>
      <c r="O57" s="434" t="n">
        <v>3</v>
      </c>
      <c r="P57" s="372" t="n"/>
    </row>
    <row r="58" ht="15.6" customHeight="1">
      <c r="A58" s="405" t="n"/>
      <c r="B58" s="410" t="n"/>
      <c r="C58" s="10" t="inlineStr">
        <is>
          <t>진로</t>
        </is>
      </c>
      <c r="D58" s="190" t="inlineStr">
        <is>
          <t>경제 수학</t>
        </is>
      </c>
      <c r="E58" s="204">
        <f>IFERROR(VLOOKUP(D58, 기본학점, 2, FALSE), "")</f>
        <v/>
      </c>
      <c r="F58" s="162" t="n">
        <v>3</v>
      </c>
      <c r="G58" s="50" t="n"/>
      <c r="H58" s="147" t="n"/>
      <c r="I58" s="11" t="n"/>
      <c r="J58" s="424" t="n"/>
      <c r="K58" s="13" t="n"/>
      <c r="L58" s="14" t="n"/>
      <c r="M58" s="197" t="n"/>
      <c r="N58" s="168" t="n"/>
      <c r="O58" s="424" t="n"/>
      <c r="P58" s="411" t="n"/>
    </row>
    <row r="59" ht="15.6" customHeight="1">
      <c r="A59" s="405" t="n"/>
      <c r="B59" s="333" t="inlineStr">
        <is>
          <t>사 회
(역사/도덕 포함)</t>
        </is>
      </c>
      <c r="C59" s="19" t="inlineStr">
        <is>
          <t>일반</t>
        </is>
      </c>
      <c r="D59" s="193" t="inlineStr">
        <is>
          <t>세계사</t>
        </is>
      </c>
      <c r="E59" s="210">
        <f>IFERROR(VLOOKUP(D59, 기본학점, 2, FALSE), "")</f>
        <v/>
      </c>
      <c r="F59" s="161" t="n">
        <v>3</v>
      </c>
      <c r="G59" s="123" t="n"/>
      <c r="H59" s="151" t="n"/>
      <c r="I59" s="123" t="n"/>
      <c r="J59" s="435" t="inlineStr">
        <is>
          <t>9
(택3)</t>
        </is>
      </c>
      <c r="K59" s="37" t="n"/>
      <c r="L59" s="38" t="n"/>
      <c r="M59" s="198" t="n"/>
      <c r="N59" s="75" t="n"/>
      <c r="O59" s="436" t="n">
        <v>12</v>
      </c>
      <c r="P59" s="411" t="n"/>
    </row>
    <row r="60" ht="15.6" customHeight="1">
      <c r="A60" s="405" t="n"/>
      <c r="B60" s="410" t="n"/>
      <c r="C60" s="10" t="inlineStr">
        <is>
          <t>일반</t>
        </is>
      </c>
      <c r="D60" s="190" t="inlineStr">
        <is>
          <t>사회와 문화</t>
        </is>
      </c>
      <c r="E60" s="204">
        <f>IFERROR(VLOOKUP(D60, 기본학점, 2, FALSE), "")</f>
        <v/>
      </c>
      <c r="F60" s="162" t="n">
        <v>3</v>
      </c>
      <c r="G60" s="50" t="n"/>
      <c r="H60" s="152" t="n"/>
      <c r="I60" s="50" t="n"/>
      <c r="J60" s="407" t="n"/>
      <c r="K60" s="41" t="n"/>
      <c r="L60" s="42" t="n"/>
      <c r="M60" s="197" t="n"/>
      <c r="N60" s="168" t="n"/>
      <c r="O60" s="407" t="n"/>
      <c r="P60" s="411" t="n"/>
    </row>
    <row r="61" ht="15.6" customHeight="1">
      <c r="A61" s="405" t="n"/>
      <c r="B61" s="410" t="n"/>
      <c r="C61" s="10" t="inlineStr">
        <is>
          <t>진로</t>
        </is>
      </c>
      <c r="D61" s="190" t="inlineStr">
        <is>
          <t>한국지리 탐구</t>
        </is>
      </c>
      <c r="E61" s="204">
        <f>IFERROR(VLOOKUP(D61, 기본학점, 2, FALSE), "")</f>
        <v/>
      </c>
      <c r="F61" s="162" t="n">
        <v>3</v>
      </c>
      <c r="G61" s="50" t="n"/>
      <c r="H61" s="152" t="n"/>
      <c r="I61" s="50" t="n"/>
      <c r="J61" s="407" t="n"/>
      <c r="K61" s="41" t="n"/>
      <c r="L61" s="42" t="n"/>
      <c r="M61" s="197" t="n"/>
      <c r="N61" s="168" t="n"/>
      <c r="O61" s="407" t="n"/>
      <c r="P61" s="411" t="n"/>
    </row>
    <row r="62" ht="15.6" customHeight="1">
      <c r="A62" s="405" t="n"/>
      <c r="B62" s="410" t="n"/>
      <c r="C62" s="10" t="inlineStr">
        <is>
          <t>진로</t>
        </is>
      </c>
      <c r="D62" s="190" t="inlineStr">
        <is>
          <t xml:space="preserve">법과 사회 </t>
        </is>
      </c>
      <c r="E62" s="204">
        <f>IFERROR(VLOOKUP(D62, 기본학점, 2, FALSE), "")</f>
        <v/>
      </c>
      <c r="F62" s="162" t="n">
        <v>3</v>
      </c>
      <c r="G62" s="50" t="n"/>
      <c r="H62" s="152" t="n"/>
      <c r="I62" s="50" t="n"/>
      <c r="J62" s="407" t="n"/>
      <c r="K62" s="41" t="n"/>
      <c r="L62" s="42" t="n"/>
      <c r="M62" s="197" t="n"/>
      <c r="N62" s="168" t="n"/>
      <c r="O62" s="407" t="n"/>
      <c r="P62" s="411" t="n"/>
    </row>
    <row r="63" ht="15.6" customHeight="1">
      <c r="A63" s="405" t="n"/>
      <c r="B63" s="429" t="n"/>
      <c r="C63" s="20" t="inlineStr">
        <is>
          <t>진로</t>
        </is>
      </c>
      <c r="D63" s="195" t="inlineStr">
        <is>
          <t xml:space="preserve">윤리와 사상 </t>
        </is>
      </c>
      <c r="E63" s="159">
        <f>IFERROR(VLOOKUP(D63, 기본학점, 2, FALSE), "")</f>
        <v/>
      </c>
      <c r="F63" s="159" t="n">
        <v>3</v>
      </c>
      <c r="G63" s="138" t="n"/>
      <c r="H63" s="154" t="n"/>
      <c r="I63" s="51" t="n"/>
      <c r="J63" s="407" t="n"/>
      <c r="K63" s="52" t="n"/>
      <c r="L63" s="53" t="n"/>
      <c r="M63" s="192" t="n"/>
      <c r="N63" s="106" t="n"/>
      <c r="O63" s="407" t="n"/>
      <c r="P63" s="411" t="n"/>
    </row>
    <row r="64" ht="15.6" customHeight="1">
      <c r="A64" s="405" t="n"/>
      <c r="B64" s="340" t="inlineStr">
        <is>
          <t>과 학</t>
        </is>
      </c>
      <c r="C64" s="19" t="inlineStr">
        <is>
          <t>진로</t>
        </is>
      </c>
      <c r="D64" s="193" t="inlineStr">
        <is>
          <t xml:space="preserve">역학과 에너지 </t>
        </is>
      </c>
      <c r="E64" s="210">
        <f>IFERROR(VLOOKUP(D64, 기본학점, 2, FALSE), "")</f>
        <v/>
      </c>
      <c r="F64" s="161" t="n">
        <v>3</v>
      </c>
      <c r="G64" s="123" t="n"/>
      <c r="H64" s="151" t="n"/>
      <c r="I64" s="15" t="n"/>
      <c r="J64" s="407" t="n"/>
      <c r="K64" s="15" t="n"/>
      <c r="L64" s="36" t="n"/>
      <c r="M64" s="198" t="n"/>
      <c r="N64" s="170" t="n"/>
      <c r="O64" s="407" t="n"/>
      <c r="P64" s="411" t="n"/>
    </row>
    <row r="65" ht="15.6" customHeight="1">
      <c r="A65" s="405" t="n"/>
      <c r="B65" s="410" t="n"/>
      <c r="C65" s="10" t="inlineStr">
        <is>
          <t>진로</t>
        </is>
      </c>
      <c r="D65" s="190" t="inlineStr">
        <is>
          <t>화학 반응의 세계</t>
        </is>
      </c>
      <c r="E65" s="204">
        <f>IFERROR(VLOOKUP(D65, 기본학점, 2, FALSE), "")</f>
        <v/>
      </c>
      <c r="F65" s="162" t="n">
        <v>3</v>
      </c>
      <c r="G65" s="50" t="n"/>
      <c r="H65" s="152" t="n"/>
      <c r="I65" s="11" t="n"/>
      <c r="J65" s="407" t="n"/>
      <c r="K65" s="11" t="n"/>
      <c r="L65" s="39" t="n"/>
      <c r="M65" s="197" t="n"/>
      <c r="N65" s="168" t="n"/>
      <c r="O65" s="407" t="n"/>
      <c r="P65" s="411" t="n"/>
    </row>
    <row r="66" ht="15.6" customHeight="1">
      <c r="A66" s="405" t="n"/>
      <c r="B66" s="410" t="n"/>
      <c r="C66" s="10" t="inlineStr">
        <is>
          <t>진로</t>
        </is>
      </c>
      <c r="D66" s="190" t="inlineStr">
        <is>
          <t>생물의 유전</t>
        </is>
      </c>
      <c r="E66" s="204">
        <f>IFERROR(VLOOKUP(D66, 기본학점, 2, FALSE), "")</f>
        <v/>
      </c>
      <c r="F66" s="162" t="n">
        <v>3</v>
      </c>
      <c r="G66" s="50" t="n"/>
      <c r="H66" s="152" t="n"/>
      <c r="I66" s="11" t="n"/>
      <c r="J66" s="407" t="n"/>
      <c r="K66" s="11" t="n"/>
      <c r="L66" s="39" t="n"/>
      <c r="M66" s="197" t="n"/>
      <c r="N66" s="168" t="n"/>
      <c r="O66" s="407" t="n"/>
      <c r="P66" s="411" t="n"/>
    </row>
    <row r="67" ht="15.6" customHeight="1">
      <c r="A67" s="405" t="n"/>
      <c r="B67" s="410" t="n"/>
      <c r="C67" s="10" t="inlineStr">
        <is>
          <t>진로</t>
        </is>
      </c>
      <c r="D67" s="190" t="inlineStr">
        <is>
          <t xml:space="preserve">지구시스템과학 </t>
        </is>
      </c>
      <c r="E67" s="204">
        <f>IFERROR(VLOOKUP(D67, 기본학점, 2, FALSE), "")</f>
        <v/>
      </c>
      <c r="F67" s="162" t="n">
        <v>3</v>
      </c>
      <c r="G67" s="50" t="n"/>
      <c r="H67" s="152" t="n"/>
      <c r="I67" s="11" t="n"/>
      <c r="J67" s="424" t="n"/>
      <c r="K67" s="11" t="n"/>
      <c r="L67" s="39" t="n"/>
      <c r="M67" s="197" t="n"/>
      <c r="N67" s="168" t="n"/>
      <c r="O67" s="407" t="n"/>
      <c r="P67" s="411" t="n"/>
    </row>
    <row r="68" ht="15.6" customHeight="1">
      <c r="A68" s="405" t="n"/>
      <c r="B68" s="340" t="inlineStr">
        <is>
          <t>기술∙가정/정보</t>
        </is>
      </c>
      <c r="C68" s="19" t="inlineStr">
        <is>
          <t>진로</t>
        </is>
      </c>
      <c r="D68" s="193" t="inlineStr">
        <is>
          <t xml:space="preserve">인공지능 기초 </t>
        </is>
      </c>
      <c r="E68" s="210">
        <f>IFERROR(VLOOKUP(D68, 기본학점, 2, FALSE), "")</f>
        <v/>
      </c>
      <c r="F68" s="161" t="n">
        <v>3</v>
      </c>
      <c r="G68" s="123" t="n"/>
      <c r="H68" s="146" t="n"/>
      <c r="I68" s="15" t="n"/>
      <c r="J68" s="435" t="inlineStr">
        <is>
          <t>3
(택1)</t>
        </is>
      </c>
      <c r="K68" s="17" t="n"/>
      <c r="L68" s="16" t="n"/>
      <c r="M68" s="198" t="n"/>
      <c r="N68" s="75" t="n"/>
      <c r="O68" s="407" t="n"/>
      <c r="P68" s="411" t="n"/>
    </row>
    <row r="69" ht="15.6" customHeight="1">
      <c r="A69" s="405" t="n"/>
      <c r="B69" s="340" t="inlineStr">
        <is>
          <t>제2외국어/한문</t>
        </is>
      </c>
      <c r="C69" s="19" t="inlineStr">
        <is>
          <t>융합</t>
        </is>
      </c>
      <c r="D69" s="193" t="inlineStr">
        <is>
          <t xml:space="preserve">중국 문화 </t>
        </is>
      </c>
      <c r="E69" s="210">
        <f>IFERROR(VLOOKUP(D69, 기본학점, 2, FALSE), "")</f>
        <v/>
      </c>
      <c r="F69" s="158" t="n">
        <v>3</v>
      </c>
      <c r="G69" s="123" t="n"/>
      <c r="H69" s="146" t="n"/>
      <c r="I69" s="15" t="n"/>
      <c r="J69" s="407" t="n"/>
      <c r="K69" s="17" t="n"/>
      <c r="L69" s="16" t="n"/>
      <c r="M69" s="198" t="n"/>
      <c r="N69" s="75" t="n"/>
      <c r="O69" s="407" t="n"/>
      <c r="P69" s="411" t="n"/>
    </row>
    <row r="70" ht="15.6" customHeight="1" thickBot="1">
      <c r="A70" s="412" t="n"/>
      <c r="B70" s="410" t="n"/>
      <c r="C70" s="10" t="inlineStr">
        <is>
          <t>융합</t>
        </is>
      </c>
      <c r="D70" s="190" t="inlineStr">
        <is>
          <t>일본 문화</t>
        </is>
      </c>
      <c r="E70" s="204">
        <f>IFERROR(VLOOKUP(D70, 기본학점, 2, FALSE), "")</f>
        <v/>
      </c>
      <c r="F70" s="204" t="n">
        <v>3</v>
      </c>
      <c r="G70" s="50" t="n"/>
      <c r="H70" s="147" t="n"/>
      <c r="I70" s="11" t="n"/>
      <c r="J70" s="424" t="n"/>
      <c r="K70" s="26" t="n"/>
      <c r="L70" s="12" t="n"/>
      <c r="M70" s="197" t="n"/>
      <c r="N70" s="168" t="n"/>
      <c r="O70" s="414" t="n"/>
      <c r="P70" s="418" t="n"/>
    </row>
    <row r="71" ht="15.6" customHeight="1">
      <c r="A71" s="323" t="inlineStr">
        <is>
          <t xml:space="preserve">3
학년선택 </t>
        </is>
      </c>
      <c r="B71" s="367" t="inlineStr">
        <is>
          <t>국 어</t>
        </is>
      </c>
      <c r="C71" s="34" t="inlineStr">
        <is>
          <t>진로</t>
        </is>
      </c>
      <c r="D71" s="188" t="inlineStr">
        <is>
          <t xml:space="preserve">주제 탐구 독서 </t>
        </is>
      </c>
      <c r="E71" s="163">
        <f>IFERROR(VLOOKUP(D71, 기본학점, 2, FALSE), "")</f>
        <v/>
      </c>
      <c r="F71" s="212" t="n">
        <v>3</v>
      </c>
      <c r="G71" s="125" t="n"/>
      <c r="H71" s="149" t="n"/>
      <c r="I71" s="9" t="n"/>
      <c r="J71" s="243" t="n"/>
      <c r="K71" s="171" t="inlineStr">
        <is>
          <t>6
(택2)</t>
        </is>
      </c>
      <c r="L71" s="35" t="n"/>
      <c r="M71" s="199" t="n"/>
      <c r="N71" s="112" t="n"/>
      <c r="O71" s="437" t="n">
        <v>18</v>
      </c>
      <c r="P71" s="438" t="n"/>
    </row>
    <row r="72" ht="15.6" customHeight="1">
      <c r="A72" s="405" t="n"/>
      <c r="B72" s="326" t="inlineStr">
        <is>
          <t>수 학</t>
        </is>
      </c>
      <c r="C72" s="19" t="inlineStr">
        <is>
          <t>진로</t>
        </is>
      </c>
      <c r="D72" s="193" t="inlineStr">
        <is>
          <t>미적분Ⅱ</t>
        </is>
      </c>
      <c r="E72" s="210">
        <f>IFERROR(VLOOKUP(D72, 기본학점, 2, FALSE), "")</f>
        <v/>
      </c>
      <c r="F72" s="158" t="n">
        <v>3</v>
      </c>
      <c r="G72" s="123" t="n"/>
      <c r="H72" s="146" t="n"/>
      <c r="I72" s="17" t="n"/>
      <c r="J72" s="217" t="n"/>
      <c r="K72" s="407" t="n"/>
      <c r="L72" s="18" t="n"/>
      <c r="M72" s="198" t="n"/>
      <c r="N72" s="287" t="n"/>
      <c r="O72" s="407" t="n"/>
      <c r="P72" s="411" t="n"/>
    </row>
    <row r="73" ht="15.6" customHeight="1">
      <c r="A73" s="405" t="n"/>
      <c r="B73" s="406" t="n"/>
      <c r="C73" s="10" t="inlineStr">
        <is>
          <t>융합</t>
        </is>
      </c>
      <c r="D73" s="190" t="inlineStr">
        <is>
          <t>실용 통계</t>
        </is>
      </c>
      <c r="E73" s="204">
        <f>IFERROR(VLOOKUP(D73, 기본학점, 2, FALSE), "")</f>
        <v/>
      </c>
      <c r="F73" s="162" t="n">
        <v>3</v>
      </c>
      <c r="G73" s="50" t="n"/>
      <c r="H73" s="147" t="n"/>
      <c r="I73" s="13" t="n"/>
      <c r="J73" s="218" t="n"/>
      <c r="K73" s="407" t="n"/>
      <c r="L73" s="14" t="n"/>
      <c r="M73" s="197" t="n"/>
      <c r="N73" s="288" t="n"/>
      <c r="O73" s="407" t="n"/>
      <c r="P73" s="411" t="n"/>
    </row>
    <row r="74" ht="15.6" customHeight="1">
      <c r="A74" s="405" t="n"/>
      <c r="B74" s="406" t="n"/>
      <c r="C74" s="10" t="inlineStr">
        <is>
          <t>융합</t>
        </is>
      </c>
      <c r="D74" s="190" t="inlineStr">
        <is>
          <t>수학과제 탐구</t>
        </is>
      </c>
      <c r="E74" s="204">
        <f>IFERROR(VLOOKUP(D74, 기본학점, 2, FALSE), "")</f>
        <v/>
      </c>
      <c r="F74" s="162" t="n">
        <v>3</v>
      </c>
      <c r="G74" s="50" t="n"/>
      <c r="H74" s="147" t="n"/>
      <c r="I74" s="13" t="n"/>
      <c r="J74" s="218" t="n"/>
      <c r="K74" s="407" t="n"/>
      <c r="L74" s="14" t="n"/>
      <c r="M74" s="197" t="n"/>
      <c r="N74" s="288" t="n"/>
      <c r="O74" s="407" t="n"/>
      <c r="P74" s="411" t="n"/>
    </row>
    <row r="75" ht="15.6" customHeight="1">
      <c r="A75" s="405" t="n"/>
      <c r="B75" s="326" t="inlineStr">
        <is>
          <t>영 어</t>
        </is>
      </c>
      <c r="C75" s="254" t="inlineStr">
        <is>
          <t>진로</t>
        </is>
      </c>
      <c r="D75" s="255" t="inlineStr">
        <is>
          <t xml:space="preserve">심화 영어 </t>
        </is>
      </c>
      <c r="E75" s="256">
        <f>IFERROR(VLOOKUP(D75, 기본학점, 2, FALSE), "")</f>
        <v/>
      </c>
      <c r="F75" s="257" t="n">
        <v>3</v>
      </c>
      <c r="G75" s="259" t="n"/>
      <c r="H75" s="265" t="n"/>
      <c r="I75" s="266" t="n"/>
      <c r="J75" s="267" t="n"/>
      <c r="K75" s="407" t="n"/>
      <c r="L75" s="65" t="n"/>
      <c r="M75" s="268" t="n"/>
      <c r="N75" s="287" t="n"/>
      <c r="O75" s="407" t="n"/>
      <c r="P75" s="411" t="n"/>
    </row>
    <row r="76" ht="15.6" customHeight="1">
      <c r="A76" s="405" t="n"/>
      <c r="B76" s="426" t="inlineStr">
        <is>
          <t>체 육</t>
        </is>
      </c>
      <c r="C76" s="254" t="inlineStr">
        <is>
          <t>진로</t>
        </is>
      </c>
      <c r="D76" s="255" t="inlineStr">
        <is>
          <t>기초 체육 전공 실기</t>
        </is>
      </c>
      <c r="E76" s="348" t="n">
        <v>3</v>
      </c>
      <c r="F76" s="118" t="n">
        <v>3</v>
      </c>
      <c r="G76" s="37" t="n"/>
      <c r="H76" s="215" t="n"/>
      <c r="I76" s="17" t="n"/>
      <c r="J76" s="16" t="n"/>
      <c r="K76" s="407" t="n"/>
      <c r="L76" s="339" t="n"/>
      <c r="M76" s="241" t="inlineStr">
        <is>
          <t>특목고 선택 과목</t>
        </is>
      </c>
      <c r="N76" s="289" t="n"/>
      <c r="O76" s="407" t="n"/>
      <c r="P76" s="411" t="n"/>
    </row>
    <row r="77" ht="15.6" customHeight="1">
      <c r="A77" s="405" t="n"/>
      <c r="B77" s="423" t="n"/>
      <c r="C77" s="27" t="inlineStr">
        <is>
          <t>진로</t>
        </is>
      </c>
      <c r="D77" s="200" t="inlineStr">
        <is>
          <t>심화 체육 전공 실기</t>
        </is>
      </c>
      <c r="E77" s="159" t="n">
        <v>3</v>
      </c>
      <c r="F77" s="118" t="n">
        <v>3</v>
      </c>
      <c r="G77" s="54" t="n"/>
      <c r="H77" s="148" t="n"/>
      <c r="I77" s="22" t="n"/>
      <c r="J77" s="21" t="n"/>
      <c r="K77" s="424" t="n"/>
      <c r="L77" s="339" t="n"/>
      <c r="M77" s="241" t="inlineStr">
        <is>
          <t>특목고 선택 과목</t>
        </is>
      </c>
      <c r="N77" s="289" t="n"/>
      <c r="O77" s="407" t="n"/>
      <c r="P77" s="411" t="n"/>
    </row>
    <row r="78" ht="15.6" customHeight="1">
      <c r="A78" s="405" t="n"/>
      <c r="B78" s="326" t="inlineStr">
        <is>
          <t>사 회
(역사/도덕 포함)</t>
        </is>
      </c>
      <c r="C78" s="19" t="inlineStr">
        <is>
          <t>진로</t>
        </is>
      </c>
      <c r="D78" s="193" t="inlineStr">
        <is>
          <t>인문학과 윤리</t>
        </is>
      </c>
      <c r="E78" s="210">
        <f>IFERROR(VLOOKUP(D78, 기본학점, 2, FALSE), "")</f>
        <v/>
      </c>
      <c r="F78" s="161" t="n">
        <v>3</v>
      </c>
      <c r="G78" s="123" t="n"/>
      <c r="H78" s="151" t="n"/>
      <c r="I78" s="37" t="n"/>
      <c r="J78" s="211" t="n"/>
      <c r="K78" s="65" t="inlineStr">
        <is>
          <t>6
(택2)</t>
        </is>
      </c>
      <c r="L78" s="38" t="n"/>
      <c r="M78" s="198" t="n"/>
      <c r="N78" s="287" t="n"/>
      <c r="O78" s="407" t="n"/>
      <c r="P78" s="411" t="n"/>
    </row>
    <row r="79" ht="15.6" customHeight="1">
      <c r="A79" s="405" t="n"/>
      <c r="B79" s="406" t="n"/>
      <c r="C79" s="10" t="inlineStr">
        <is>
          <t>융합</t>
        </is>
      </c>
      <c r="D79" s="190" t="inlineStr">
        <is>
          <t>여행지리</t>
        </is>
      </c>
      <c r="E79" s="204">
        <f>IFERROR(VLOOKUP(D79, 기본학점, 2, FALSE), "")</f>
        <v/>
      </c>
      <c r="F79" s="162" t="n">
        <v>3</v>
      </c>
      <c r="G79" s="50" t="n"/>
      <c r="H79" s="152" t="n"/>
      <c r="I79" s="41" t="n"/>
      <c r="J79" s="60" t="n"/>
      <c r="K79" s="407" t="n"/>
      <c r="L79" s="42" t="n"/>
      <c r="M79" s="197" t="n"/>
      <c r="N79" s="288" t="n"/>
      <c r="O79" s="407" t="n"/>
      <c r="P79" s="411" t="n"/>
    </row>
    <row r="80" ht="15.6" customHeight="1">
      <c r="A80" s="405" t="n"/>
      <c r="B80" s="406" t="n"/>
      <c r="C80" s="10" t="inlineStr">
        <is>
          <t>융합</t>
        </is>
      </c>
      <c r="D80" s="190" t="inlineStr">
        <is>
          <t>사회문제 탐구</t>
        </is>
      </c>
      <c r="E80" s="204">
        <f>IFERROR(VLOOKUP(D80, 기본학점, 2, FALSE), "")</f>
        <v/>
      </c>
      <c r="F80" s="162" t="n">
        <v>3</v>
      </c>
      <c r="G80" s="50" t="n"/>
      <c r="H80" s="152" t="n"/>
      <c r="I80" s="41" t="n"/>
      <c r="J80" s="60" t="n"/>
      <c r="K80" s="407" t="n"/>
      <c r="L80" s="42" t="n"/>
      <c r="M80" s="197" t="n"/>
      <c r="N80" s="288" t="n"/>
      <c r="O80" s="407" t="n"/>
      <c r="P80" s="411" t="n"/>
    </row>
    <row r="81" ht="15.6" customHeight="1">
      <c r="A81" s="405" t="n"/>
      <c r="B81" s="406" t="n"/>
      <c r="C81" s="10" t="inlineStr">
        <is>
          <t>융합</t>
        </is>
      </c>
      <c r="D81" s="190" t="inlineStr">
        <is>
          <t>역사로 탐구하는 현대 세계</t>
        </is>
      </c>
      <c r="E81" s="204">
        <f>IFERROR(VLOOKUP(D81, 기본학점, 2, FALSE), "")</f>
        <v/>
      </c>
      <c r="F81" s="162" t="n">
        <v>3</v>
      </c>
      <c r="G81" s="50" t="n"/>
      <c r="H81" s="152" t="n"/>
      <c r="I81" s="41" t="n"/>
      <c r="J81" s="60" t="n"/>
      <c r="K81" s="407" t="n"/>
      <c r="L81" s="42" t="n"/>
      <c r="M81" s="197" t="n"/>
      <c r="N81" s="288" t="n"/>
      <c r="O81" s="407" t="n"/>
      <c r="P81" s="411" t="n"/>
    </row>
    <row r="82" ht="15.6" customHeight="1">
      <c r="A82" s="405" t="n"/>
      <c r="B82" s="426" t="inlineStr">
        <is>
          <t>과 학</t>
        </is>
      </c>
      <c r="C82" s="19" t="inlineStr">
        <is>
          <t>진로</t>
        </is>
      </c>
      <c r="D82" s="193" t="inlineStr">
        <is>
          <t>전자기와 양자</t>
        </is>
      </c>
      <c r="E82" s="210">
        <f>IFERROR(VLOOKUP(D82, 기본학점, 2, FALSE), "")</f>
        <v/>
      </c>
      <c r="F82" s="161" t="n">
        <v>3</v>
      </c>
      <c r="G82" s="123" t="n"/>
      <c r="H82" s="151" t="n"/>
      <c r="I82" s="30" t="n"/>
      <c r="J82" s="244" t="n"/>
      <c r="K82" s="407" t="n"/>
      <c r="L82" s="31" t="n"/>
      <c r="M82" s="198" t="n"/>
      <c r="N82" s="287" t="n"/>
      <c r="O82" s="407" t="n"/>
      <c r="P82" s="411" t="n"/>
    </row>
    <row r="83" ht="15.6" customHeight="1">
      <c r="A83" s="405" t="n"/>
      <c r="B83" s="406" t="n"/>
      <c r="C83" s="10" t="inlineStr">
        <is>
          <t>진로</t>
        </is>
      </c>
      <c r="D83" s="190" t="inlineStr">
        <is>
          <t xml:space="preserve">물질과 에너지 </t>
        </is>
      </c>
      <c r="E83" s="204">
        <f>IFERROR(VLOOKUP(D83, 기본학점, 2, FALSE), "")</f>
        <v/>
      </c>
      <c r="F83" s="162" t="n">
        <v>3</v>
      </c>
      <c r="G83" s="50" t="n"/>
      <c r="H83" s="152" t="n"/>
      <c r="I83" s="32" t="n"/>
      <c r="J83" s="245" t="n"/>
      <c r="K83" s="407" t="n"/>
      <c r="L83" s="33" t="n"/>
      <c r="M83" s="197" t="n"/>
      <c r="N83" s="288" t="n"/>
      <c r="O83" s="407" t="n"/>
      <c r="P83" s="411" t="n"/>
    </row>
    <row r="84" ht="15.6" customHeight="1">
      <c r="A84" s="405" t="n"/>
      <c r="B84" s="406" t="n"/>
      <c r="C84" s="10" t="inlineStr">
        <is>
          <t>진로</t>
        </is>
      </c>
      <c r="D84" s="190" t="inlineStr">
        <is>
          <t xml:space="preserve">세포와 물질대사 </t>
        </is>
      </c>
      <c r="E84" s="204">
        <f>IFERROR(VLOOKUP(D84, 기본학점, 2, FALSE), "")</f>
        <v/>
      </c>
      <c r="F84" s="162" t="n">
        <v>3</v>
      </c>
      <c r="G84" s="139" t="n"/>
      <c r="H84" s="147" t="n"/>
      <c r="I84" s="13" t="n"/>
      <c r="J84" s="218" t="n"/>
      <c r="K84" s="407" t="n"/>
      <c r="L84" s="14" t="n"/>
      <c r="M84" s="197" t="n"/>
      <c r="N84" s="288" t="n"/>
      <c r="O84" s="407" t="n"/>
      <c r="P84" s="411" t="n"/>
    </row>
    <row r="85" ht="15.6" customHeight="1">
      <c r="A85" s="405" t="n"/>
      <c r="B85" s="423" t="n"/>
      <c r="C85" s="25" t="inlineStr">
        <is>
          <t>진로</t>
        </is>
      </c>
      <c r="D85" s="195" t="inlineStr">
        <is>
          <t>행성우주과학</t>
        </is>
      </c>
      <c r="E85" s="159">
        <f>IFERROR(VLOOKUP(D85, 기본학점, 2, FALSE), "")</f>
        <v/>
      </c>
      <c r="F85" s="122" t="n">
        <v>3</v>
      </c>
      <c r="G85" s="140" t="n"/>
      <c r="H85" s="148" t="n"/>
      <c r="I85" s="22" t="n"/>
      <c r="J85" s="56" t="n"/>
      <c r="K85" s="407" t="n"/>
      <c r="L85" s="23" t="n"/>
      <c r="M85" s="191" t="n"/>
      <c r="N85" s="290" t="n"/>
      <c r="O85" s="407" t="n"/>
      <c r="P85" s="411" t="n"/>
    </row>
    <row r="86" ht="15.6" customHeight="1">
      <c r="A86" s="405" t="n"/>
      <c r="B86" s="326" t="inlineStr">
        <is>
          <t>체 육</t>
        </is>
      </c>
      <c r="C86" s="19" t="inlineStr">
        <is>
          <t>진로</t>
        </is>
      </c>
      <c r="D86" s="193" t="inlineStr">
        <is>
          <t>고급 체육 전공 실기</t>
        </is>
      </c>
      <c r="E86" s="210" t="n">
        <v>3</v>
      </c>
      <c r="F86" s="158" t="n">
        <v>3</v>
      </c>
      <c r="G86" s="141" t="n"/>
      <c r="H86" s="146" t="n"/>
      <c r="I86" s="17" t="n"/>
      <c r="J86" s="217" t="n"/>
      <c r="K86" s="424" t="n"/>
      <c r="L86" s="18" t="n"/>
      <c r="M86" s="198" t="inlineStr">
        <is>
          <t>특목고 선택 과목</t>
        </is>
      </c>
      <c r="N86" s="291" t="n"/>
      <c r="O86" s="407" t="n"/>
      <c r="P86" s="411" t="n"/>
    </row>
    <row r="87" ht="15.6" customHeight="1">
      <c r="A87" s="405" t="n"/>
      <c r="B87" s="430" t="inlineStr">
        <is>
          <t>교 양</t>
        </is>
      </c>
      <c r="C87" s="19" t="inlineStr">
        <is>
          <t>진로</t>
        </is>
      </c>
      <c r="D87" s="193" t="inlineStr">
        <is>
          <t>인공지능 원리 탐구</t>
        </is>
      </c>
      <c r="E87" s="210" t="n">
        <v>3</v>
      </c>
      <c r="F87" s="161" t="n">
        <v>3</v>
      </c>
      <c r="G87" s="141" t="n"/>
      <c r="H87" s="146" t="n"/>
      <c r="I87" s="17" t="n"/>
      <c r="J87" s="18" t="n"/>
      <c r="K87" s="439" t="inlineStr">
        <is>
          <t>6
(택2)</t>
        </is>
      </c>
      <c r="L87" s="18" t="n"/>
      <c r="M87" s="198" t="inlineStr">
        <is>
          <t>타 시·도 교육감 승인 과목</t>
        </is>
      </c>
      <c r="N87" s="291" t="n"/>
      <c r="O87" s="407" t="n"/>
      <c r="P87" s="411" t="n"/>
    </row>
    <row r="88" ht="15.6" customHeight="1">
      <c r="A88" s="405" t="n"/>
      <c r="B88" s="406" t="n"/>
      <c r="C88" s="238" t="inlineStr">
        <is>
          <t>진로</t>
        </is>
      </c>
      <c r="D88" s="219" t="inlineStr">
        <is>
          <t>중국 언어와 역사의 이해1</t>
        </is>
      </c>
      <c r="E88" s="117" t="n">
        <v>3</v>
      </c>
      <c r="F88" s="286" t="n">
        <v>3</v>
      </c>
      <c r="G88" s="49" t="n"/>
      <c r="H88" s="150" t="n"/>
      <c r="I88" s="24" t="n"/>
      <c r="J88" s="251" t="n"/>
      <c r="K88" s="407" t="n"/>
      <c r="L88" s="236" t="n"/>
      <c r="M88" s="225" t="inlineStr">
        <is>
          <t>타 시·도 교육감 승인 과목</t>
        </is>
      </c>
      <c r="N88" s="292" t="n"/>
      <c r="O88" s="407" t="n"/>
      <c r="P88" s="411" t="n"/>
    </row>
    <row r="89" ht="15.6" customHeight="1">
      <c r="A89" s="405" t="n"/>
      <c r="B89" s="406" t="n"/>
      <c r="C89" s="10" t="inlineStr">
        <is>
          <t>진로</t>
        </is>
      </c>
      <c r="D89" s="190" t="inlineStr">
        <is>
          <t>일본 언어와 역사의 이해1</t>
        </is>
      </c>
      <c r="E89" s="204" t="n">
        <v>3</v>
      </c>
      <c r="F89" s="162" t="n">
        <v>3</v>
      </c>
      <c r="G89" s="50" t="n"/>
      <c r="H89" s="147" t="n"/>
      <c r="I89" s="13" t="n"/>
      <c r="J89" s="14" t="n"/>
      <c r="K89" s="407" t="n"/>
      <c r="L89" s="14" t="n"/>
      <c r="M89" s="197" t="inlineStr">
        <is>
          <t>타 시·도 교육감 승인 과목</t>
        </is>
      </c>
      <c r="N89" s="288" t="n"/>
      <c r="O89" s="407" t="n"/>
      <c r="P89" s="411" t="n"/>
    </row>
    <row r="90" ht="15.6" customHeight="1">
      <c r="A90" s="405" t="n"/>
      <c r="B90" s="406" t="n"/>
      <c r="C90" s="238" t="inlineStr">
        <is>
          <t>진로</t>
        </is>
      </c>
      <c r="D90" s="219" t="inlineStr">
        <is>
          <t xml:space="preserve">교육의 이해 </t>
        </is>
      </c>
      <c r="E90" s="117">
        <f>IFERROR(VLOOKUP(D90, 기본학점, 2, FALSE), "")</f>
        <v/>
      </c>
      <c r="F90" s="286" t="n">
        <v>3</v>
      </c>
      <c r="G90" s="49" t="n"/>
      <c r="H90" s="150" t="n"/>
      <c r="I90" s="24" t="n"/>
      <c r="J90" s="251" t="n"/>
      <c r="K90" s="407" t="n"/>
      <c r="L90" s="236" t="n"/>
      <c r="M90" s="225" t="n"/>
      <c r="N90" s="293" t="n"/>
      <c r="O90" s="407" t="n"/>
      <c r="P90" s="411" t="n"/>
    </row>
    <row r="91" ht="15.6" customHeight="1" thickBot="1">
      <c r="A91" s="405" t="n"/>
      <c r="B91" s="413" t="n"/>
      <c r="C91" s="10" t="inlineStr">
        <is>
          <t>진로</t>
        </is>
      </c>
      <c r="D91" s="190" t="inlineStr">
        <is>
          <t xml:space="preserve">논리와 사고 </t>
        </is>
      </c>
      <c r="E91" s="204">
        <f>IFERROR(VLOOKUP(D91, 기본학점, 2, FALSE), "")</f>
        <v/>
      </c>
      <c r="F91" s="182" t="n">
        <v>3</v>
      </c>
      <c r="G91" s="50" t="n"/>
      <c r="H91" s="147" t="n"/>
      <c r="I91" s="13" t="n"/>
      <c r="J91" s="218" t="n"/>
      <c r="K91" s="414" t="n"/>
      <c r="L91" s="295" t="n"/>
      <c r="M91" s="197" t="n"/>
      <c r="N91" s="288" t="n"/>
      <c r="O91" s="414" t="n"/>
      <c r="P91" s="411" t="n"/>
    </row>
    <row r="92" ht="15.6" customHeight="1">
      <c r="A92" s="405" t="n"/>
      <c r="B92" s="367" t="inlineStr">
        <is>
          <t>국 어</t>
        </is>
      </c>
      <c r="C92" s="34" t="inlineStr">
        <is>
          <t>진로</t>
        </is>
      </c>
      <c r="D92" s="188" t="inlineStr">
        <is>
          <t>문학과 영상</t>
        </is>
      </c>
      <c r="E92" s="163">
        <f>IFERROR(VLOOKUP(D92, 기본학점, 2, FALSE), "")</f>
        <v/>
      </c>
      <c r="F92" s="163" t="n">
        <v>3</v>
      </c>
      <c r="G92" s="125" t="n"/>
      <c r="H92" s="149" t="n"/>
      <c r="I92" s="55" t="n"/>
      <c r="J92" s="35" t="n"/>
      <c r="K92" s="251" t="n"/>
      <c r="L92" s="370" t="inlineStr">
        <is>
          <t>6
(택2)</t>
        </is>
      </c>
      <c r="M92" s="246" t="n"/>
      <c r="N92" s="172" t="n"/>
      <c r="O92" s="440" t="n">
        <v>18</v>
      </c>
      <c r="P92" s="411" t="n"/>
    </row>
    <row r="93" ht="15.6" customHeight="1">
      <c r="A93" s="405" t="n"/>
      <c r="B93" s="326" t="inlineStr">
        <is>
          <t>수 학</t>
        </is>
      </c>
      <c r="C93" s="19" t="inlineStr">
        <is>
          <t>진로</t>
        </is>
      </c>
      <c r="D93" s="193" t="inlineStr">
        <is>
          <t>인공지능 수학</t>
        </is>
      </c>
      <c r="E93" s="210">
        <f>IFERROR(VLOOKUP(D93, 기본학점, 2, FALSE), "")</f>
        <v/>
      </c>
      <c r="F93" s="158" t="n">
        <v>3</v>
      </c>
      <c r="G93" s="123" t="n"/>
      <c r="H93" s="146" t="n"/>
      <c r="I93" s="57" t="n"/>
      <c r="J93" s="18" t="n"/>
      <c r="K93" s="217" t="n"/>
      <c r="L93" s="407" t="n"/>
      <c r="M93" s="247" t="n"/>
      <c r="N93" s="170" t="n"/>
      <c r="O93" s="407" t="n"/>
      <c r="P93" s="411" t="n"/>
    </row>
    <row r="94" ht="15.6" customHeight="1">
      <c r="A94" s="405" t="n"/>
      <c r="B94" s="406" t="n"/>
      <c r="C94" s="10" t="inlineStr">
        <is>
          <t>융합</t>
        </is>
      </c>
      <c r="D94" s="190" t="inlineStr">
        <is>
          <t xml:space="preserve">수학과 문화 </t>
        </is>
      </c>
      <c r="E94" s="204">
        <f>IFERROR(VLOOKUP(D94, 기본학점, 2, FALSE), "")</f>
        <v/>
      </c>
      <c r="F94" s="162" t="n">
        <v>3</v>
      </c>
      <c r="G94" s="50" t="n"/>
      <c r="H94" s="147" t="n"/>
      <c r="I94" s="58" t="n"/>
      <c r="J94" s="14" t="n"/>
      <c r="K94" s="218" t="n"/>
      <c r="L94" s="407" t="n"/>
      <c r="M94" s="248" t="n"/>
      <c r="N94" s="168" t="n"/>
      <c r="O94" s="407" t="n"/>
      <c r="P94" s="411" t="n"/>
    </row>
    <row r="95" ht="15.6" customHeight="1">
      <c r="A95" s="405" t="n"/>
      <c r="B95" s="326" t="inlineStr">
        <is>
          <t>영 어</t>
        </is>
      </c>
      <c r="C95" s="254" t="inlineStr">
        <is>
          <t>진로</t>
        </is>
      </c>
      <c r="D95" s="255" t="inlineStr">
        <is>
          <t>영어 발표와 토론</t>
        </is>
      </c>
      <c r="E95" s="256">
        <f>IFERROR(VLOOKUP(D95, 기본학점, 2, FALSE), "")</f>
        <v/>
      </c>
      <c r="F95" s="348" t="n">
        <v>3</v>
      </c>
      <c r="G95" s="259" t="n"/>
      <c r="H95" s="260" t="n"/>
      <c r="I95" s="66" t="n"/>
      <c r="J95" s="67" t="n"/>
      <c r="K95" s="261" t="n"/>
      <c r="L95" s="407" t="n"/>
      <c r="M95" s="263" t="n"/>
      <c r="N95" s="75" t="n"/>
      <c r="O95" s="407" t="n"/>
      <c r="P95" s="411" t="n"/>
    </row>
    <row r="96" ht="15.6" customHeight="1">
      <c r="A96" s="405" t="n"/>
      <c r="B96" s="426" t="inlineStr">
        <is>
          <t>체 육</t>
        </is>
      </c>
      <c r="C96" s="254" t="inlineStr">
        <is>
          <t>진로</t>
        </is>
      </c>
      <c r="D96" s="255" t="inlineStr">
        <is>
          <t>스포츠 경기 기술</t>
        </is>
      </c>
      <c r="E96" s="158" t="n">
        <v>3</v>
      </c>
      <c r="F96" s="158" t="n">
        <v>3</v>
      </c>
      <c r="G96" s="37" t="n"/>
      <c r="H96" s="146" t="n"/>
      <c r="I96" s="24" t="n"/>
      <c r="J96" s="236" t="n"/>
      <c r="K96" s="262" t="n"/>
      <c r="L96" s="407" t="n"/>
      <c r="M96" s="264" t="inlineStr">
        <is>
          <t>특목고 선택 과목</t>
        </is>
      </c>
      <c r="N96" s="242" t="n"/>
      <c r="O96" s="407" t="n"/>
      <c r="P96" s="411" t="n"/>
    </row>
    <row r="97" ht="15.6" customHeight="1">
      <c r="A97" s="405" t="n"/>
      <c r="B97" s="423" t="n"/>
      <c r="C97" s="27" t="inlineStr">
        <is>
          <t>진로</t>
        </is>
      </c>
      <c r="D97" s="200" t="inlineStr">
        <is>
          <t>스포츠 경기 체력</t>
        </is>
      </c>
      <c r="E97" s="269" t="n">
        <v>3</v>
      </c>
      <c r="F97" s="118" t="n">
        <v>3</v>
      </c>
      <c r="G97" s="130" t="n"/>
      <c r="H97" s="215" t="n"/>
      <c r="I97" s="28" t="n"/>
      <c r="J97" s="21" t="n"/>
      <c r="K97" s="253" t="n"/>
      <c r="L97" s="424" t="n"/>
      <c r="M97" s="249" t="inlineStr">
        <is>
          <t>특목고 선택 과목</t>
        </is>
      </c>
      <c r="N97" s="242" t="n"/>
      <c r="O97" s="407" t="n"/>
      <c r="P97" s="411" t="n"/>
    </row>
    <row r="98" ht="15.6" customHeight="1">
      <c r="A98" s="405" t="n"/>
      <c r="B98" s="326" t="inlineStr">
        <is>
          <t>사 회
(역사/도덕 포함)</t>
        </is>
      </c>
      <c r="C98" s="19" t="inlineStr">
        <is>
          <t>진로</t>
        </is>
      </c>
      <c r="D98" s="193" t="inlineStr">
        <is>
          <t>기후변화와 지속가능한 세계</t>
        </is>
      </c>
      <c r="E98" s="210">
        <f>IFERROR(VLOOKUP(D98, 기본학점, 2, FALSE), "")</f>
        <v/>
      </c>
      <c r="F98" s="161" t="n">
        <v>3</v>
      </c>
      <c r="G98" s="123" t="n"/>
      <c r="H98" s="151" t="n"/>
      <c r="I98" s="37" t="n"/>
      <c r="J98" s="38" t="n"/>
      <c r="K98" s="211" t="n"/>
      <c r="L98" s="65" t="inlineStr">
        <is>
          <t>6
(택2)</t>
        </is>
      </c>
      <c r="M98" s="247" t="n"/>
      <c r="N98" s="170" t="n"/>
      <c r="O98" s="407" t="n"/>
      <c r="P98" s="411" t="n"/>
    </row>
    <row r="99" ht="15.6" customHeight="1">
      <c r="A99" s="405" t="n"/>
      <c r="B99" s="406" t="n"/>
      <c r="C99" s="10" t="inlineStr">
        <is>
          <t>진로</t>
        </is>
      </c>
      <c r="D99" s="190" t="inlineStr">
        <is>
          <t>현대 세계의 변화</t>
        </is>
      </c>
      <c r="E99" s="204" t="n">
        <v>4</v>
      </c>
      <c r="F99" s="162" t="n">
        <v>3</v>
      </c>
      <c r="G99" s="50" t="n"/>
      <c r="H99" s="152" t="n"/>
      <c r="I99" s="41" t="n"/>
      <c r="J99" s="42" t="n"/>
      <c r="K99" s="60" t="n"/>
      <c r="L99" s="407" t="n"/>
      <c r="M99" s="248" t="inlineStr">
        <is>
          <t>특목고 선택 과목</t>
        </is>
      </c>
      <c r="N99" s="168" t="n"/>
      <c r="O99" s="407" t="n"/>
      <c r="P99" s="411" t="n"/>
    </row>
    <row r="100" ht="15.6" customHeight="1">
      <c r="A100" s="405" t="n"/>
      <c r="B100" s="406" t="n"/>
      <c r="C100" s="10" t="inlineStr">
        <is>
          <t>진로</t>
        </is>
      </c>
      <c r="D100" s="190" t="inlineStr">
        <is>
          <t>금융과 경제생활</t>
        </is>
      </c>
      <c r="E100" s="204">
        <f>IFERROR(VLOOKUP(D100, 기본학점, 2, FALSE), "")</f>
        <v/>
      </c>
      <c r="F100" s="162" t="n">
        <v>3</v>
      </c>
      <c r="G100" s="50" t="n"/>
      <c r="H100" s="152" t="n"/>
      <c r="I100" s="41" t="n"/>
      <c r="J100" s="42" t="n"/>
      <c r="K100" s="60" t="n"/>
      <c r="L100" s="407" t="n"/>
      <c r="M100" s="248" t="n"/>
      <c r="N100" s="168" t="n"/>
      <c r="O100" s="407" t="n"/>
      <c r="P100" s="411" t="n"/>
    </row>
    <row r="101" ht="15.6" customHeight="1">
      <c r="A101" s="405" t="n"/>
      <c r="B101" s="406" t="n"/>
      <c r="C101" s="10" t="inlineStr">
        <is>
          <t>융합</t>
        </is>
      </c>
      <c r="D101" s="190" t="inlineStr">
        <is>
          <t>윤리문제 탐구</t>
        </is>
      </c>
      <c r="E101" s="204">
        <f>IFERROR(VLOOKUP(D101, 기본학점, 2, FALSE), "")</f>
        <v/>
      </c>
      <c r="F101" s="162" t="n">
        <v>3</v>
      </c>
      <c r="G101" s="50" t="n"/>
      <c r="H101" s="152" t="n"/>
      <c r="I101" s="41" t="n"/>
      <c r="J101" s="42" t="n"/>
      <c r="K101" s="60" t="n"/>
      <c r="L101" s="407" t="n"/>
      <c r="M101" s="248" t="n"/>
      <c r="N101" s="168" t="n"/>
      <c r="O101" s="407" t="n"/>
      <c r="P101" s="411" t="n"/>
    </row>
    <row r="102" ht="15.6" customHeight="1">
      <c r="A102" s="405" t="n"/>
      <c r="B102" s="326" t="inlineStr">
        <is>
          <t>과 학</t>
        </is>
      </c>
      <c r="C102" s="19" t="inlineStr">
        <is>
          <t>융합</t>
        </is>
      </c>
      <c r="D102" s="193" t="inlineStr">
        <is>
          <t>과학의 역사와 문화</t>
        </is>
      </c>
      <c r="E102" s="210">
        <f>IFERROR(VLOOKUP(D102, 기본학점, 2, FALSE), "")</f>
        <v/>
      </c>
      <c r="F102" s="161" t="n">
        <v>3</v>
      </c>
      <c r="G102" s="123" t="n"/>
      <c r="H102" s="151" t="n"/>
      <c r="I102" s="15" t="n"/>
      <c r="J102" s="36" t="n"/>
      <c r="K102" s="250" t="n"/>
      <c r="L102" s="407" t="n"/>
      <c r="M102" s="247" t="n"/>
      <c r="N102" s="170" t="n"/>
      <c r="O102" s="407" t="n"/>
      <c r="P102" s="411" t="n"/>
    </row>
    <row r="103" ht="15.6" customHeight="1">
      <c r="A103" s="405" t="n"/>
      <c r="B103" s="406" t="n"/>
      <c r="C103" s="10" t="inlineStr">
        <is>
          <t>융합</t>
        </is>
      </c>
      <c r="D103" s="190" t="inlineStr">
        <is>
          <t>기후변화와 환경생태</t>
        </is>
      </c>
      <c r="E103" s="204">
        <f>IFERROR(VLOOKUP(D103, 기본학점, 2, FALSE), "")</f>
        <v/>
      </c>
      <c r="F103" s="162" t="n">
        <v>3</v>
      </c>
      <c r="G103" s="50" t="n"/>
      <c r="H103" s="152" t="n"/>
      <c r="I103" s="11" t="n"/>
      <c r="J103" s="39" t="n"/>
      <c r="K103" s="61" t="n"/>
      <c r="L103" s="407" t="n"/>
      <c r="M103" s="248" t="n"/>
      <c r="N103" s="168" t="n"/>
      <c r="O103" s="407" t="n"/>
      <c r="P103" s="411" t="n"/>
    </row>
    <row r="104" ht="15.6" customHeight="1">
      <c r="A104" s="405" t="n"/>
      <c r="B104" s="406" t="n"/>
      <c r="C104" s="10" t="inlineStr">
        <is>
          <t>융합</t>
        </is>
      </c>
      <c r="D104" s="190" t="inlineStr">
        <is>
          <t>융합과학 탐구</t>
        </is>
      </c>
      <c r="E104" s="204">
        <f>IFERROR(VLOOKUP(D104, 기본학점, 2, FALSE), "")</f>
        <v/>
      </c>
      <c r="F104" s="162" t="n">
        <v>3</v>
      </c>
      <c r="G104" s="50" t="n"/>
      <c r="H104" s="152" t="n"/>
      <c r="I104" s="11" t="n"/>
      <c r="J104" s="39" t="n"/>
      <c r="K104" s="61" t="n"/>
      <c r="L104" s="407" t="n"/>
      <c r="M104" s="248" t="n"/>
      <c r="N104" s="168" t="n"/>
      <c r="O104" s="407" t="n"/>
      <c r="P104" s="411" t="n"/>
    </row>
    <row r="105" ht="15.6" customHeight="1">
      <c r="A105" s="405" t="n"/>
      <c r="B105" s="326" t="inlineStr">
        <is>
          <t>체 육</t>
        </is>
      </c>
      <c r="C105" s="19" t="inlineStr">
        <is>
          <t>진로</t>
        </is>
      </c>
      <c r="D105" s="193" t="inlineStr">
        <is>
          <t>스포츠 경기 분석</t>
        </is>
      </c>
      <c r="E105" s="210" t="n">
        <v>3</v>
      </c>
      <c r="F105" s="158" t="n">
        <v>3</v>
      </c>
      <c r="G105" s="123" t="n"/>
      <c r="H105" s="151" t="n"/>
      <c r="I105" s="15" t="n"/>
      <c r="J105" s="36" t="n"/>
      <c r="K105" s="62" t="n"/>
      <c r="L105" s="424" t="n"/>
      <c r="M105" s="247" t="inlineStr">
        <is>
          <t>특목고 선택 과목</t>
        </is>
      </c>
      <c r="N105" s="75" t="n"/>
      <c r="O105" s="407" t="n"/>
      <c r="P105" s="411" t="n"/>
    </row>
    <row r="106" ht="15.6" customHeight="1">
      <c r="A106" s="405" t="n"/>
      <c r="B106" s="326" t="inlineStr">
        <is>
          <t>교 양</t>
        </is>
      </c>
      <c r="C106" s="19" t="inlineStr">
        <is>
          <t>진로</t>
        </is>
      </c>
      <c r="D106" s="193" t="inlineStr">
        <is>
          <t>인공지능 생활 탐구</t>
        </is>
      </c>
      <c r="E106" s="210" t="n">
        <v>3</v>
      </c>
      <c r="F106" s="161" t="n">
        <v>3</v>
      </c>
      <c r="G106" s="123" t="n"/>
      <c r="H106" s="146" t="n"/>
      <c r="I106" s="15" t="n"/>
      <c r="J106" s="16" t="n"/>
      <c r="K106" s="36" t="n"/>
      <c r="L106" s="65" t="inlineStr">
        <is>
          <t>6
(택2)</t>
        </is>
      </c>
      <c r="M106" s="198" t="inlineStr">
        <is>
          <t>타 시·도 교육감 승인 과목</t>
        </is>
      </c>
      <c r="N106" s="75" t="n"/>
      <c r="O106" s="407" t="n"/>
      <c r="P106" s="411" t="n"/>
    </row>
    <row r="107" ht="15.6" customHeight="1">
      <c r="A107" s="405" t="n"/>
      <c r="B107" s="406" t="n"/>
      <c r="C107" s="238" t="inlineStr">
        <is>
          <t>진로</t>
        </is>
      </c>
      <c r="D107" s="219" t="inlineStr">
        <is>
          <t>중국 언어와 역사의 이해2</t>
        </is>
      </c>
      <c r="E107" s="117" t="n">
        <v>3</v>
      </c>
      <c r="F107" s="118" t="n">
        <v>3</v>
      </c>
      <c r="G107" s="49" t="n"/>
      <c r="H107" s="150" t="n"/>
      <c r="I107" s="8" t="n"/>
      <c r="J107" s="284" t="n"/>
      <c r="K107" s="294" t="n"/>
      <c r="L107" s="407" t="n"/>
      <c r="M107" s="225" t="inlineStr">
        <is>
          <t>타 시·도 교육감 승인 과목</t>
        </is>
      </c>
      <c r="N107" s="237" t="n"/>
      <c r="O107" s="407" t="n"/>
      <c r="P107" s="411" t="n"/>
    </row>
    <row r="108" ht="15.6" customHeight="1">
      <c r="A108" s="405" t="n"/>
      <c r="B108" s="406" t="n"/>
      <c r="C108" s="10" t="inlineStr">
        <is>
          <t>진로</t>
        </is>
      </c>
      <c r="D108" s="190" t="inlineStr">
        <is>
          <t>일본 언어와 역사의 이해2</t>
        </is>
      </c>
      <c r="E108" s="204" t="n">
        <v>3</v>
      </c>
      <c r="F108" s="162" t="n">
        <v>3</v>
      </c>
      <c r="G108" s="50" t="n"/>
      <c r="H108" s="147" t="n"/>
      <c r="I108" s="11" t="n"/>
      <c r="J108" s="12" t="n"/>
      <c r="K108" s="12" t="n"/>
      <c r="L108" s="407" t="n"/>
      <c r="M108" s="197" t="inlineStr">
        <is>
          <t>타 시·도 교육감 승인 과목</t>
        </is>
      </c>
      <c r="N108" s="168" t="n"/>
      <c r="O108" s="407" t="n"/>
      <c r="P108" s="411" t="n"/>
      <c r="T108" t="inlineStr">
        <is>
          <t>`</t>
        </is>
      </c>
    </row>
    <row r="109" ht="15.6" customHeight="1">
      <c r="A109" s="405" t="n"/>
      <c r="B109" s="406" t="n"/>
      <c r="C109" s="238" t="inlineStr">
        <is>
          <t>진로</t>
        </is>
      </c>
      <c r="D109" s="219" t="inlineStr">
        <is>
          <t>인간과 심리</t>
        </is>
      </c>
      <c r="E109" s="117">
        <f>IFERROR(VLOOKUP(D109, 기본학점, 2, FALSE), "")</f>
        <v/>
      </c>
      <c r="F109" s="286" t="n">
        <v>3</v>
      </c>
      <c r="G109" s="49" t="n"/>
      <c r="H109" s="150" t="n"/>
      <c r="I109" s="8" t="n"/>
      <c r="J109" s="284" t="n"/>
      <c r="K109" s="294" t="n"/>
      <c r="L109" s="407" t="n"/>
      <c r="M109" s="225" t="n"/>
      <c r="N109" s="237" t="n"/>
      <c r="O109" s="407" t="n"/>
      <c r="P109" s="411" t="n"/>
    </row>
    <row r="110" ht="15.6" customHeight="1" thickBot="1">
      <c r="A110" s="405" t="n"/>
      <c r="B110" s="406" t="n"/>
      <c r="C110" s="10" t="inlineStr">
        <is>
          <t>융합</t>
        </is>
      </c>
      <c r="D110" s="190" t="inlineStr">
        <is>
          <t>논술</t>
        </is>
      </c>
      <c r="E110" s="204">
        <f>IFERROR(VLOOKUP(D110, 기본학점, 2, FALSE), "")</f>
        <v/>
      </c>
      <c r="F110" s="182" t="n">
        <v>3</v>
      </c>
      <c r="G110" s="50" t="n"/>
      <c r="H110" s="147" t="n"/>
      <c r="I110" s="11" t="n"/>
      <c r="J110" s="12" t="n"/>
      <c r="K110" s="59" t="n"/>
      <c r="L110" s="424" t="n"/>
      <c r="M110" s="197" t="n"/>
      <c r="N110" s="168" t="n"/>
      <c r="O110" s="414" t="n"/>
      <c r="P110" s="418" t="n"/>
    </row>
    <row r="111" hidden="1" ht="17.25" customHeight="1" thickBot="1">
      <c r="A111" s="131" t="n"/>
      <c r="B111" s="116" t="n"/>
      <c r="C111" s="132" t="n"/>
      <c r="D111" s="133" t="n"/>
      <c r="E111" s="120">
        <f>IFERROR(VLOOKUP(D111, 기본학점, 2, FALSE), "")</f>
        <v/>
      </c>
      <c r="F111" s="122" t="n"/>
      <c r="G111" s="130" t="n"/>
      <c r="H111" s="215" t="n"/>
      <c r="I111" s="28" t="n"/>
      <c r="J111" s="179" t="n"/>
      <c r="K111" s="116" t="n"/>
      <c r="L111" s="179" t="n"/>
      <c r="M111" s="27" t="n"/>
      <c r="N111" s="27" t="n"/>
      <c r="O111" s="184" t="n"/>
      <c r="P111" s="304" t="n"/>
    </row>
    <row r="112" ht="17.25" customHeight="1">
      <c r="A112" s="420" t="inlineStr">
        <is>
          <t>교과 이수 학점 소계</t>
        </is>
      </c>
      <c r="B112" s="441" t="n"/>
      <c r="C112" s="441" t="n"/>
      <c r="D112" s="441" t="n"/>
      <c r="E112" s="402" t="n"/>
      <c r="F112" s="68" t="n"/>
      <c r="G112" s="63">
        <f>SUM(G7:G110)</f>
        <v/>
      </c>
      <c r="H112" s="186">
        <f>SUM(H7:H111)</f>
        <v/>
      </c>
      <c r="I112" s="63" t="n">
        <v>29</v>
      </c>
      <c r="J112" s="64" t="n">
        <v>29</v>
      </c>
      <c r="K112" s="63" t="n">
        <v>28</v>
      </c>
      <c r="L112" s="64" t="n">
        <v>28</v>
      </c>
      <c r="M112" s="171" t="n"/>
      <c r="N112" s="171" t="n"/>
      <c r="O112" s="29">
        <f>SUM(G112:L112)</f>
        <v/>
      </c>
      <c r="P112" s="311">
        <f>SUM(P7:P110)</f>
        <v/>
      </c>
      <c r="Q112" s="1" t="n"/>
    </row>
    <row r="113">
      <c r="A113" s="426" t="inlineStr">
        <is>
          <t>창의적 체험활동</t>
        </is>
      </c>
      <c r="B113" s="442" t="n"/>
      <c r="C113" s="442" t="n"/>
      <c r="D113" s="442" t="n"/>
      <c r="E113" s="443" t="n"/>
      <c r="F113" s="65" t="n">
        <v>18</v>
      </c>
      <c r="G113" s="28" t="n">
        <v>2</v>
      </c>
      <c r="H113" s="179" t="n">
        <v>2</v>
      </c>
      <c r="I113" s="178" t="n">
        <v>3</v>
      </c>
      <c r="J113" s="179" t="n">
        <v>3</v>
      </c>
      <c r="K113" s="178" t="n">
        <v>4</v>
      </c>
      <c r="L113" s="339" t="n">
        <v>4</v>
      </c>
      <c r="M113" s="369" t="n"/>
      <c r="N113" s="28" t="n"/>
      <c r="O113" s="28">
        <f>SUM(G113:L113)</f>
        <v/>
      </c>
      <c r="P113" s="310" t="n">
        <v>18</v>
      </c>
    </row>
    <row r="114" ht="15" customHeight="1">
      <c r="A114" s="426" t="inlineStr">
        <is>
          <t>학기별 총 이수 학점</t>
        </is>
      </c>
      <c r="B114" s="442" t="n"/>
      <c r="C114" s="442" t="n"/>
      <c r="D114" s="442" t="n"/>
      <c r="E114" s="442" t="n"/>
      <c r="F114" s="443" t="n"/>
      <c r="G114" s="66">
        <f>SUM(G112:G113)</f>
        <v/>
      </c>
      <c r="H114" s="67">
        <f>SUM(H112:H113)</f>
        <v/>
      </c>
      <c r="I114" s="66">
        <f>SUM(I112:I113)</f>
        <v/>
      </c>
      <c r="J114" s="67">
        <f>SUM(J112:J113)</f>
        <v/>
      </c>
      <c r="K114" s="66">
        <f>SUM(K112:K113)</f>
        <v/>
      </c>
      <c r="L114" s="67">
        <f>SUM(L112:L113)</f>
        <v/>
      </c>
      <c r="M114" s="65" t="n"/>
      <c r="N114" s="298" t="n"/>
      <c r="O114" s="427">
        <f>SUM(G114:M114)</f>
        <v/>
      </c>
      <c r="P114" s="444" t="n"/>
    </row>
    <row r="115" ht="15" customHeight="1">
      <c r="A115" s="426" t="inlineStr">
        <is>
          <t>학기당 이수 과목 수</t>
        </is>
      </c>
      <c r="B115" s="442" t="n"/>
      <c r="C115" s="442" t="n"/>
      <c r="D115" s="442" t="n"/>
      <c r="E115" s="442" t="n"/>
      <c r="F115" s="443" t="n"/>
      <c r="G115" s="298" t="n">
        <v>10</v>
      </c>
      <c r="H115" s="67" t="n">
        <v>10</v>
      </c>
      <c r="I115" s="66" t="n">
        <v>9</v>
      </c>
      <c r="J115" s="67" t="n">
        <v>9</v>
      </c>
      <c r="K115" s="66" t="n">
        <v>9</v>
      </c>
      <c r="L115" s="333" t="n">
        <v>9</v>
      </c>
      <c r="M115" s="65" t="n"/>
      <c r="N115" s="298" t="n"/>
      <c r="O115" s="445" t="n"/>
      <c r="P115" s="444" t="n"/>
    </row>
    <row r="116" ht="17.25" customHeight="1" thickBot="1">
      <c r="A116" s="430" t="inlineStr">
        <is>
          <t>학년별 총 이수 학점</t>
        </is>
      </c>
      <c r="B116" s="446" t="n"/>
      <c r="C116" s="446" t="n"/>
      <c r="D116" s="446" t="n"/>
      <c r="E116" s="446" t="n"/>
      <c r="F116" s="447" t="n"/>
      <c r="G116" s="439">
        <f>SUM(G114:H114)</f>
        <v/>
      </c>
      <c r="H116" s="447" t="n"/>
      <c r="I116" s="439">
        <f>SUM(I114:J114)</f>
        <v/>
      </c>
      <c r="J116" s="447" t="n"/>
      <c r="K116" s="439">
        <f>SUM(K114:L114)</f>
        <v/>
      </c>
      <c r="L116" s="447" t="n"/>
      <c r="M116" s="330" t="n"/>
      <c r="N116" s="164" t="n"/>
      <c r="O116" s="432">
        <f>SUM(G116:M116)</f>
        <v/>
      </c>
      <c r="P116" s="448" t="n"/>
    </row>
    <row r="117">
      <c r="A117" s="449" t="inlineStr">
        <is>
          <t>※ 유의사항
- 국어, 수학, 영어 교과의 이수 학점 총합은 81학점을 초과하지 않아야 함.
- '기초 체육 전공 실기', '심화 체육 전공 실기', '고급 체육 전공 실기', '스포츠 경기 분석', '현대 세계의 변화'는 특목고선택과목으로 5등급으로 성적이 산출됨.</t>
        </is>
      </c>
      <c r="B117" s="450" t="n"/>
      <c r="C117" s="450" t="n"/>
      <c r="D117" s="450" t="n"/>
      <c r="E117" s="450" t="n"/>
      <c r="F117" s="450" t="n"/>
      <c r="G117" s="450" t="n"/>
      <c r="H117" s="450" t="n"/>
      <c r="I117" s="450" t="n"/>
      <c r="J117" s="450" t="n"/>
      <c r="K117" s="450" t="n"/>
      <c r="L117" s="450" t="n"/>
      <c r="M117" s="450" t="n"/>
      <c r="N117" s="450" t="n"/>
      <c r="O117" s="450" t="n"/>
      <c r="P117" s="451" t="n"/>
    </row>
    <row r="118">
      <c r="A118" s="1" t="n"/>
      <c r="P118" s="452" t="n"/>
    </row>
    <row r="119">
      <c r="A119" s="1" t="n"/>
      <c r="P119" s="452" t="n"/>
    </row>
    <row r="120">
      <c r="A120" s="1" t="n"/>
      <c r="P120" s="452" t="n"/>
    </row>
    <row r="121">
      <c r="A121" s="1" t="n"/>
      <c r="P121" s="452" t="n"/>
    </row>
    <row r="122">
      <c r="A122" s="1" t="n"/>
      <c r="P122" s="452" t="n"/>
    </row>
    <row r="123">
      <c r="A123" s="1" t="n"/>
      <c r="P123" s="452" t="n"/>
      <c r="S123" s="7" t="n"/>
    </row>
    <row r="124">
      <c r="A124" s="1" t="n"/>
      <c r="P124" s="452" t="n"/>
    </row>
    <row r="125" ht="14.25" customHeight="1" thickBot="1">
      <c r="A125" s="453" t="n"/>
      <c r="B125" s="397" t="n"/>
      <c r="C125" s="397" t="n"/>
      <c r="D125" s="397" t="n"/>
      <c r="E125" s="397" t="n"/>
      <c r="F125" s="397" t="n"/>
      <c r="G125" s="397" t="n"/>
      <c r="H125" s="397" t="n"/>
      <c r="I125" s="397" t="n"/>
      <c r="J125" s="397" t="n"/>
      <c r="K125" s="397" t="n"/>
      <c r="L125" s="397" t="n"/>
      <c r="M125" s="397" t="n"/>
      <c r="N125" s="397" t="n"/>
      <c r="O125" s="397" t="n"/>
      <c r="P125" s="454" t="n"/>
    </row>
  </sheetData>
  <mergeCells count="99">
    <mergeCell ref="A71:A110"/>
    <mergeCell ref="O28:O31"/>
    <mergeCell ref="L98:L105"/>
    <mergeCell ref="P71:P110"/>
    <mergeCell ref="J4:J5"/>
    <mergeCell ref="L4:L5"/>
    <mergeCell ref="E3:E5"/>
    <mergeCell ref="B38:B41"/>
    <mergeCell ref="B59:B63"/>
    <mergeCell ref="O32:O37"/>
    <mergeCell ref="B78:B81"/>
    <mergeCell ref="A113:E113"/>
    <mergeCell ref="B72:B74"/>
    <mergeCell ref="P24:P25"/>
    <mergeCell ref="I51:I56"/>
    <mergeCell ref="B24:B27"/>
    <mergeCell ref="O59:O70"/>
    <mergeCell ref="O71:O91"/>
    <mergeCell ref="K116:L116"/>
    <mergeCell ref="P26:P27"/>
    <mergeCell ref="A117:P125"/>
    <mergeCell ref="A2:D2"/>
    <mergeCell ref="J57:J58"/>
    <mergeCell ref="J59:J67"/>
    <mergeCell ref="B32:B37"/>
    <mergeCell ref="B93:B94"/>
    <mergeCell ref="M3:M5"/>
    <mergeCell ref="P38:P41"/>
    <mergeCell ref="B87:B91"/>
    <mergeCell ref="B7:B12"/>
    <mergeCell ref="P51:P56"/>
    <mergeCell ref="P3:P5"/>
    <mergeCell ref="K2:P2"/>
    <mergeCell ref="B18:B23"/>
    <mergeCell ref="O13:O17"/>
    <mergeCell ref="I42:I50"/>
    <mergeCell ref="B69:B70"/>
    <mergeCell ref="B3:B5"/>
    <mergeCell ref="O92:O110"/>
    <mergeCell ref="B28:B31"/>
    <mergeCell ref="B53:B54"/>
    <mergeCell ref="K87:K91"/>
    <mergeCell ref="A1:P1"/>
    <mergeCell ref="K78:K86"/>
    <mergeCell ref="O42:O50"/>
    <mergeCell ref="B55:B56"/>
    <mergeCell ref="B102:B104"/>
    <mergeCell ref="A114:F114"/>
    <mergeCell ref="O51:O56"/>
    <mergeCell ref="O57:O58"/>
    <mergeCell ref="B64:B67"/>
    <mergeCell ref="H4:H5"/>
    <mergeCell ref="A3:A5"/>
    <mergeCell ref="B13:B17"/>
    <mergeCell ref="O7:O12"/>
    <mergeCell ref="O115:P115"/>
    <mergeCell ref="K3:L3"/>
    <mergeCell ref="P57:P70"/>
    <mergeCell ref="B47:B50"/>
    <mergeCell ref="A7:A41"/>
    <mergeCell ref="I116:J116"/>
    <mergeCell ref="A42:A70"/>
    <mergeCell ref="B98:B101"/>
    <mergeCell ref="B57:B58"/>
    <mergeCell ref="G116:H116"/>
    <mergeCell ref="A116:F116"/>
    <mergeCell ref="C3:C5"/>
    <mergeCell ref="B82:B85"/>
    <mergeCell ref="A115:F115"/>
    <mergeCell ref="O114:P114"/>
    <mergeCell ref="B106:B110"/>
    <mergeCell ref="K4:K5"/>
    <mergeCell ref="N3:N5"/>
    <mergeCell ref="F3:F5"/>
    <mergeCell ref="P28:P31"/>
    <mergeCell ref="P18:P23"/>
    <mergeCell ref="J68:J70"/>
    <mergeCell ref="A112:E112"/>
    <mergeCell ref="O38:O41"/>
    <mergeCell ref="B42:B46"/>
    <mergeCell ref="B96:B97"/>
    <mergeCell ref="K71:K77"/>
    <mergeCell ref="P13:P17"/>
    <mergeCell ref="O24:O25"/>
    <mergeCell ref="O116:P116"/>
    <mergeCell ref="O18:O23"/>
    <mergeCell ref="O26:O27"/>
    <mergeCell ref="L92:L97"/>
    <mergeCell ref="G3:H3"/>
    <mergeCell ref="I3:J3"/>
    <mergeCell ref="O3:O5"/>
    <mergeCell ref="G4:G5"/>
    <mergeCell ref="I4:I5"/>
    <mergeCell ref="P32:P37"/>
    <mergeCell ref="P7:P12"/>
    <mergeCell ref="B76:B77"/>
    <mergeCell ref="L106:L110"/>
    <mergeCell ref="B51:B52"/>
    <mergeCell ref="D3:D5"/>
  </mergeCells>
  <conditionalFormatting sqref="E7:E11">
    <cfRule type="expression" priority="68" dxfId="12">
      <formula>ISTEXT(E7)</formula>
    </cfRule>
  </conditionalFormatting>
  <conditionalFormatting sqref="E8:E10">
    <cfRule type="expression" priority="67" dxfId="12">
      <formula>ISTEXT(E8)</formula>
    </cfRule>
  </conditionalFormatting>
  <conditionalFormatting sqref="E13:E17">
    <cfRule type="expression" priority="66" dxfId="12">
      <formula>ISTEXT(E13)</formula>
    </cfRule>
  </conditionalFormatting>
  <conditionalFormatting sqref="E18:E21">
    <cfRule type="expression" priority="65" dxfId="12">
      <formula>ISTEXT(E18)</formula>
    </cfRule>
  </conditionalFormatting>
  <conditionalFormatting sqref="E24">
    <cfRule type="expression" priority="63" dxfId="12">
      <formula>ISTEXT(E24)</formula>
    </cfRule>
  </conditionalFormatting>
  <conditionalFormatting sqref="E26:E27">
    <cfRule type="expression" priority="62" dxfId="12">
      <formula>ISTEXT(E26)</formula>
    </cfRule>
  </conditionalFormatting>
  <conditionalFormatting sqref="E28:E31">
    <cfRule type="expression" priority="55" dxfId="12">
      <formula>ISTEXT(E28)</formula>
    </cfRule>
  </conditionalFormatting>
  <conditionalFormatting sqref="E32:E37">
    <cfRule type="expression" priority="54" dxfId="12">
      <formula>ISTEXT(E32)</formula>
    </cfRule>
  </conditionalFormatting>
  <conditionalFormatting sqref="E38:E41">
    <cfRule type="expression" priority="53" dxfId="12">
      <formula>ISTEXT(E38)</formula>
    </cfRule>
  </conditionalFormatting>
  <conditionalFormatting sqref="E42:E45">
    <cfRule type="expression" priority="49" dxfId="12">
      <formula>ISTEXT(E42)</formula>
    </cfRule>
  </conditionalFormatting>
  <conditionalFormatting sqref="E47:E50">
    <cfRule type="expression" priority="48" dxfId="12">
      <formula>ISTEXT(E47)</formula>
    </cfRule>
  </conditionalFormatting>
  <conditionalFormatting sqref="E51:E52">
    <cfRule type="expression" priority="43" dxfId="12">
      <formula>ISTEXT(E51)</formula>
    </cfRule>
  </conditionalFormatting>
  <conditionalFormatting sqref="E53:E56">
    <cfRule type="expression" priority="42" dxfId="12">
      <formula>ISTEXT(E53)</formula>
    </cfRule>
  </conditionalFormatting>
  <conditionalFormatting sqref="E59:E61">
    <cfRule type="expression" priority="36" dxfId="12">
      <formula>ISTEXT(E59)</formula>
    </cfRule>
  </conditionalFormatting>
  <conditionalFormatting sqref="E62">
    <cfRule type="expression" priority="35" dxfId="12">
      <formula>ISTEXT(E62)</formula>
    </cfRule>
  </conditionalFormatting>
  <conditionalFormatting sqref="E64:E67">
    <cfRule type="expression" priority="34" dxfId="12">
      <formula>ISTEXT(E64)</formula>
    </cfRule>
  </conditionalFormatting>
  <conditionalFormatting sqref="E68">
    <cfRule type="expression" priority="29" dxfId="12">
      <formula>ISTEXT(E68)</formula>
    </cfRule>
  </conditionalFormatting>
  <conditionalFormatting sqref="E69:E70">
    <cfRule type="expression" priority="28" dxfId="12">
      <formula>ISTEXT(E69)</formula>
    </cfRule>
  </conditionalFormatting>
  <conditionalFormatting sqref="E71">
    <cfRule type="expression" priority="26" dxfId="12">
      <formula>ISTEXT(E71)</formula>
    </cfRule>
  </conditionalFormatting>
  <conditionalFormatting sqref="E72:E74">
    <cfRule type="expression" priority="25" dxfId="12">
      <formula>ISTEXT(E72)</formula>
    </cfRule>
  </conditionalFormatting>
  <conditionalFormatting sqref="E75">
    <cfRule type="expression" priority="24" dxfId="12">
      <formula>ISTEXT(E75)</formula>
    </cfRule>
  </conditionalFormatting>
  <conditionalFormatting sqref="E78:E81">
    <cfRule type="expression" priority="23" dxfId="12">
      <formula>ISTEXT(E78)</formula>
    </cfRule>
  </conditionalFormatting>
  <conditionalFormatting sqref="E82:E84">
    <cfRule type="expression" priority="22" dxfId="12">
      <formula>ISTEXT(E82)</formula>
    </cfRule>
  </conditionalFormatting>
  <conditionalFormatting sqref="E87">
    <cfRule type="expression" priority="19" dxfId="12">
      <formula>ISTEXT(E87)</formula>
    </cfRule>
  </conditionalFormatting>
  <conditionalFormatting sqref="E88:E89">
    <cfRule type="expression" priority="18" dxfId="12">
      <formula>ISTEXT(E88)</formula>
    </cfRule>
  </conditionalFormatting>
  <conditionalFormatting sqref="E90:E91">
    <cfRule type="expression" priority="17" dxfId="12">
      <formula>ISTEXT(E90)</formula>
    </cfRule>
  </conditionalFormatting>
  <conditionalFormatting sqref="E86">
    <cfRule type="expression" priority="16" dxfId="12">
      <formula>ISTEXT(E86)</formula>
    </cfRule>
  </conditionalFormatting>
  <conditionalFormatting sqref="E92">
    <cfRule type="expression" priority="15" dxfId="12">
      <formula>ISTEXT(E92)</formula>
    </cfRule>
  </conditionalFormatting>
  <conditionalFormatting sqref="E93:E94">
    <cfRule type="expression" priority="14" dxfId="12">
      <formula>ISTEXT(E93)</formula>
    </cfRule>
  </conditionalFormatting>
  <conditionalFormatting sqref="E95">
    <cfRule type="expression" priority="13" dxfId="12">
      <formula>ISTEXT(E95)</formula>
    </cfRule>
  </conditionalFormatting>
  <conditionalFormatting sqref="E98:E100">
    <cfRule type="expression" priority="12" dxfId="12">
      <formula>ISTEXT(E98)</formula>
    </cfRule>
  </conditionalFormatting>
  <conditionalFormatting sqref="E101">
    <cfRule type="expression" priority="11" dxfId="12">
      <formula>ISTEXT(E101)</formula>
    </cfRule>
  </conditionalFormatting>
  <conditionalFormatting sqref="E102:E104">
    <cfRule type="expression" priority="10" dxfId="12">
      <formula>ISTEXT(E102)</formula>
    </cfRule>
  </conditionalFormatting>
  <conditionalFormatting sqref="E105">
    <cfRule type="expression" priority="8" dxfId="12">
      <formula>ISTEXT(E105)</formula>
    </cfRule>
  </conditionalFormatting>
  <conditionalFormatting sqref="E106">
    <cfRule type="expression" priority="5" dxfId="12">
      <formula>ISTEXT(E106)</formula>
    </cfRule>
  </conditionalFormatting>
  <conditionalFormatting sqref="E107:E108">
    <cfRule type="expression" priority="4" dxfId="12">
      <formula>ISTEXT(E107)</formula>
    </cfRule>
  </conditionalFormatting>
  <conditionalFormatting sqref="E109:E110">
    <cfRule type="expression" priority="3" dxfId="12">
      <formula>ISTEXT(E109)</formula>
    </cfRule>
  </conditionalFormatting>
  <conditionalFormatting sqref="E22">
    <cfRule type="expression" priority="2" dxfId="12">
      <formula>ISTEXT(E22)</formula>
    </cfRule>
  </conditionalFormatting>
  <conditionalFormatting sqref="E57:E58">
    <cfRule type="expression" priority="1" dxfId="12">
      <formula>ISTEXT(E57)</formula>
    </cfRule>
  </conditionalFormatting>
  <dataValidations xWindow="521" yWindow="482" count="5">
    <dataValidation sqref="C7:C31 C42:C50 C57:C67 C71:C85 C92:C104" showDropDown="0" showInputMessage="1" showErrorMessage="1" allowBlank="1" type="list">
      <formula1>과목유형</formula1>
    </dataValidation>
    <dataValidation sqref="B7:B10 B13:B51 B53 B55 B57:B76 B78:B87 B92:B96 B98:B106 B111" showDropDown="0" showInputMessage="1" showErrorMessage="1" allowBlank="1" type="list">
      <formula1>교과군</formula1>
    </dataValidation>
    <dataValidation sqref="C32:C41 C51:C56 C68:C70 C86:C91 C105:C111" showDropDown="0" showInputMessage="1" showErrorMessage="1" allowBlank="1" type="list">
      <formula1>과목유형2</formula1>
    </dataValidation>
    <dataValidation sqref="M7:M111 N111" showDropDown="0" showInputMessage="1" showErrorMessage="0" allowBlank="1" type="list">
      <formula1>비고</formula1>
    </dataValidation>
    <dataValidation sqref="N7:N110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12" scale="5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7734375" defaultRowHeight="12"/>
  <cols>
    <col width="15.88671875" customWidth="1" style="93" min="1" max="1"/>
    <col width="10.5546875" customWidth="1" style="93" min="2" max="3"/>
    <col width="8.77734375" customWidth="1" style="93" min="4" max="16384"/>
  </cols>
  <sheetData>
    <row r="1" ht="24" customHeight="1">
      <c r="A1" s="103" t="inlineStr">
        <is>
          <t>교과(군)</t>
        </is>
      </c>
      <c r="B1" s="104" t="inlineStr">
        <is>
          <t>입력용 
교과(군)</t>
        </is>
      </c>
      <c r="C1" s="104" t="inlineStr">
        <is>
          <t>목록이름</t>
        </is>
      </c>
      <c r="D1" s="91" t="inlineStr">
        <is>
          <t>과목유형</t>
        </is>
      </c>
      <c r="E1" s="92" t="inlineStr">
        <is>
          <t>국어공통</t>
        </is>
      </c>
      <c r="F1" s="92" t="inlineStr">
        <is>
          <t>국어일반</t>
        </is>
      </c>
      <c r="G1" s="92" t="inlineStr">
        <is>
          <t>국어진로</t>
        </is>
      </c>
      <c r="H1" s="92" t="inlineStr">
        <is>
          <t>국어융합</t>
        </is>
      </c>
      <c r="I1" s="92" t="inlineStr">
        <is>
          <t>수학공통</t>
        </is>
      </c>
      <c r="J1" s="92" t="inlineStr">
        <is>
          <t>수학일반</t>
        </is>
      </c>
      <c r="K1" s="92" t="inlineStr">
        <is>
          <t>수학진로</t>
        </is>
      </c>
      <c r="L1" s="92" t="inlineStr">
        <is>
          <t>수학융합</t>
        </is>
      </c>
      <c r="M1" s="92" t="inlineStr">
        <is>
          <t>영어공통</t>
        </is>
      </c>
      <c r="N1" s="92" t="inlineStr">
        <is>
          <t>영어일반</t>
        </is>
      </c>
      <c r="O1" s="92" t="inlineStr">
        <is>
          <t>영어진로</t>
        </is>
      </c>
      <c r="P1" s="92" t="inlineStr">
        <is>
          <t>영어융합</t>
        </is>
      </c>
      <c r="Q1" s="92" t="inlineStr">
        <is>
          <t>사회공통</t>
        </is>
      </c>
      <c r="R1" s="92" t="inlineStr">
        <is>
          <t>사회일반</t>
        </is>
      </c>
      <c r="S1" s="92" t="inlineStr">
        <is>
          <t>사회진로</t>
        </is>
      </c>
      <c r="T1" s="92" t="inlineStr">
        <is>
          <t>사회융합</t>
        </is>
      </c>
      <c r="U1" s="92" t="inlineStr">
        <is>
          <t>과학공통</t>
        </is>
      </c>
      <c r="V1" s="92" t="inlineStr">
        <is>
          <t>과학일반</t>
        </is>
      </c>
      <c r="W1" s="92" t="inlineStr">
        <is>
          <t>과학진로</t>
        </is>
      </c>
      <c r="X1" s="92" t="inlineStr">
        <is>
          <t>과학융합</t>
        </is>
      </c>
      <c r="Y1" s="92" t="inlineStr">
        <is>
          <t>체육일반</t>
        </is>
      </c>
      <c r="Z1" s="92" t="inlineStr">
        <is>
          <t>체육진로</t>
        </is>
      </c>
      <c r="AA1" s="92" t="inlineStr">
        <is>
          <t>체육융합</t>
        </is>
      </c>
      <c r="AB1" s="92" t="inlineStr">
        <is>
          <t>예술일반</t>
        </is>
      </c>
      <c r="AC1" s="92" t="inlineStr">
        <is>
          <t>예술진로</t>
        </is>
      </c>
      <c r="AD1" s="92" t="inlineStr">
        <is>
          <t>예술융합</t>
        </is>
      </c>
      <c r="AE1" s="92" t="inlineStr">
        <is>
          <t>기가정일반</t>
        </is>
      </c>
      <c r="AF1" s="92" t="inlineStr">
        <is>
          <t>기가정진로</t>
        </is>
      </c>
      <c r="AG1" s="92" t="inlineStr">
        <is>
          <t>기가정융합</t>
        </is>
      </c>
      <c r="AH1" s="92" t="inlineStr">
        <is>
          <t>외한일반</t>
        </is>
      </c>
      <c r="AI1" s="92" t="inlineStr">
        <is>
          <t>외한진로</t>
        </is>
      </c>
      <c r="AJ1" s="92" t="inlineStr">
        <is>
          <t>외한융합</t>
        </is>
      </c>
      <c r="AK1" s="92" t="inlineStr">
        <is>
          <t>교양일반</t>
        </is>
      </c>
      <c r="AL1" s="92" t="inlineStr">
        <is>
          <t>교양진로</t>
        </is>
      </c>
      <c r="AM1" s="92" t="inlineStr">
        <is>
          <t>교양융합</t>
        </is>
      </c>
    </row>
    <row r="2">
      <c r="A2" s="103" t="inlineStr">
        <is>
          <t>국 어</t>
        </is>
      </c>
      <c r="B2" s="103" t="inlineStr">
        <is>
          <t>국어</t>
        </is>
      </c>
      <c r="C2" s="103" t="inlineStr">
        <is>
          <t>과목유형</t>
        </is>
      </c>
      <c r="D2" s="91" t="inlineStr">
        <is>
          <t>공통</t>
        </is>
      </c>
      <c r="E2" s="94" t="inlineStr">
        <is>
          <t>공통국어1</t>
        </is>
      </c>
      <c r="F2" s="94" t="inlineStr">
        <is>
          <t xml:space="preserve">화법과 언어 </t>
        </is>
      </c>
      <c r="G2" s="94" t="inlineStr">
        <is>
          <t xml:space="preserve">주제 탐구 독서 </t>
        </is>
      </c>
      <c r="H2" s="94" t="inlineStr">
        <is>
          <t>독서 토론과 글쓰기</t>
        </is>
      </c>
      <c r="I2" s="94" t="inlineStr">
        <is>
          <t>공통수학1</t>
        </is>
      </c>
      <c r="J2" s="94" t="inlineStr">
        <is>
          <t>대수</t>
        </is>
      </c>
      <c r="K2" s="94" t="inlineStr">
        <is>
          <t>기하</t>
        </is>
      </c>
      <c r="L2" s="94" t="inlineStr">
        <is>
          <t xml:space="preserve">수학과 문화 </t>
        </is>
      </c>
      <c r="M2" s="94" t="inlineStr">
        <is>
          <t>공통영어1</t>
        </is>
      </c>
      <c r="N2" s="94" t="inlineStr">
        <is>
          <t>영어Ⅰ</t>
        </is>
      </c>
      <c r="O2" s="94" t="inlineStr">
        <is>
          <t>영미 문학 읽기</t>
        </is>
      </c>
      <c r="P2" s="94" t="inlineStr">
        <is>
          <t xml:space="preserve">실생활 영어 회화 </t>
        </is>
      </c>
      <c r="Q2" s="94" t="inlineStr">
        <is>
          <t>한국사1</t>
        </is>
      </c>
      <c r="R2" s="94" t="inlineStr">
        <is>
          <t>세계시민과 지리</t>
        </is>
      </c>
      <c r="S2" s="95" t="inlineStr">
        <is>
          <t>한국지리 탐구</t>
        </is>
      </c>
      <c r="T2" s="94" t="inlineStr">
        <is>
          <t>여행지리</t>
        </is>
      </c>
      <c r="U2" s="94" t="inlineStr">
        <is>
          <t>통합과학1</t>
        </is>
      </c>
      <c r="V2" s="94" t="inlineStr">
        <is>
          <t>물리학</t>
        </is>
      </c>
      <c r="W2" s="94" t="inlineStr">
        <is>
          <t xml:space="preserve">역학과 에너지 </t>
        </is>
      </c>
      <c r="X2" s="94" t="inlineStr">
        <is>
          <t>과학의 역사와 문화</t>
        </is>
      </c>
      <c r="Y2" s="95" t="inlineStr">
        <is>
          <t>체육1</t>
        </is>
      </c>
      <c r="Z2" s="94" t="inlineStr">
        <is>
          <t xml:space="preserve">운동과 건강 </t>
        </is>
      </c>
      <c r="AA2" s="94" t="inlineStr">
        <is>
          <t xml:space="preserve">스포츠 생활1 </t>
        </is>
      </c>
      <c r="AB2" s="94" t="inlineStr">
        <is>
          <t>음악</t>
        </is>
      </c>
      <c r="AC2" s="94" t="inlineStr">
        <is>
          <t>음악 연주와 창작</t>
        </is>
      </c>
      <c r="AD2" s="94" t="inlineStr">
        <is>
          <t>음악과 미디어</t>
        </is>
      </c>
      <c r="AE2" s="94" t="inlineStr">
        <is>
          <t>기술∙가정</t>
        </is>
      </c>
      <c r="AF2" s="94" t="inlineStr">
        <is>
          <t>로봇과 공학세계</t>
        </is>
      </c>
      <c r="AG2" s="94" t="inlineStr">
        <is>
          <t>창의 공학 설계</t>
        </is>
      </c>
      <c r="AH2" s="94" t="inlineStr">
        <is>
          <t xml:space="preserve">독일어 </t>
        </is>
      </c>
      <c r="AI2" s="95" t="inlineStr">
        <is>
          <t>독일어 회화</t>
        </is>
      </c>
      <c r="AJ2" s="94" t="inlineStr">
        <is>
          <t>독일어권 문화</t>
        </is>
      </c>
      <c r="AK2" s="94" t="inlineStr">
        <is>
          <t xml:space="preserve">진로와 직업 </t>
        </is>
      </c>
      <c r="AL2" s="95" t="inlineStr">
        <is>
          <t>인간과 철학</t>
        </is>
      </c>
      <c r="AM2" s="94" t="inlineStr">
        <is>
          <t xml:space="preserve">인간과 경제활동 </t>
        </is>
      </c>
    </row>
    <row r="3">
      <c r="A3" s="103" t="inlineStr">
        <is>
          <t>수 학</t>
        </is>
      </c>
      <c r="B3" s="103" t="inlineStr">
        <is>
          <t>수학</t>
        </is>
      </c>
      <c r="C3" s="103" t="inlineStr">
        <is>
          <t>과목유형</t>
        </is>
      </c>
      <c r="D3" s="91" t="inlineStr">
        <is>
          <t>일반</t>
        </is>
      </c>
      <c r="E3" s="94" t="inlineStr">
        <is>
          <t>공통국어2</t>
        </is>
      </c>
      <c r="F3" s="94" t="inlineStr">
        <is>
          <t xml:space="preserve">독서와 작문 </t>
        </is>
      </c>
      <c r="G3" s="94" t="inlineStr">
        <is>
          <t>문학과 영상</t>
        </is>
      </c>
      <c r="H3" s="94" t="inlineStr">
        <is>
          <t xml:space="preserve">매체 의사소통 </t>
        </is>
      </c>
      <c r="I3" s="94" t="inlineStr">
        <is>
          <t>공통수학2</t>
        </is>
      </c>
      <c r="J3" s="94" t="inlineStr">
        <is>
          <t>미적분Ⅰ</t>
        </is>
      </c>
      <c r="K3" s="94" t="inlineStr">
        <is>
          <t>미적분Ⅱ</t>
        </is>
      </c>
      <c r="L3" s="94" t="inlineStr">
        <is>
          <t>실용 통계</t>
        </is>
      </c>
      <c r="M3" s="94" t="inlineStr">
        <is>
          <t>공통영어2</t>
        </is>
      </c>
      <c r="N3" s="95" t="inlineStr">
        <is>
          <t>영어Ⅱ</t>
        </is>
      </c>
      <c r="O3" s="95" t="inlineStr">
        <is>
          <t>영어 발표와 토론</t>
        </is>
      </c>
      <c r="P3" s="94" t="inlineStr">
        <is>
          <t xml:space="preserve">미디어 영어 </t>
        </is>
      </c>
      <c r="Q3" s="94" t="inlineStr">
        <is>
          <t>한국사2</t>
        </is>
      </c>
      <c r="R3" s="94" t="inlineStr">
        <is>
          <t>세계사</t>
        </is>
      </c>
      <c r="S3" s="94" t="inlineStr">
        <is>
          <t xml:space="preserve">도시의 미래 탐구 </t>
        </is>
      </c>
      <c r="T3" s="94" t="inlineStr">
        <is>
          <t>역사로 탐구하는 현대 세계</t>
        </is>
      </c>
      <c r="U3" s="94" t="inlineStr">
        <is>
          <t>통합과학2</t>
        </is>
      </c>
      <c r="V3" s="95" t="inlineStr">
        <is>
          <t>화학</t>
        </is>
      </c>
      <c r="W3" s="94" t="inlineStr">
        <is>
          <t>전자기와 양자</t>
        </is>
      </c>
      <c r="X3" s="94" t="inlineStr">
        <is>
          <t>기후변화와 환경생태</t>
        </is>
      </c>
      <c r="Y3" s="95" t="inlineStr">
        <is>
          <t>체육2</t>
        </is>
      </c>
      <c r="Z3" s="94" t="inlineStr">
        <is>
          <t>스포츠 문화</t>
        </is>
      </c>
      <c r="AA3" s="94" t="inlineStr">
        <is>
          <t xml:space="preserve">스포츠 생활2 </t>
        </is>
      </c>
      <c r="AB3" s="94" t="inlineStr">
        <is>
          <t>미술</t>
        </is>
      </c>
      <c r="AC3" s="94" t="inlineStr">
        <is>
          <t>음악 감상과 비평</t>
        </is>
      </c>
      <c r="AD3" s="94" t="inlineStr">
        <is>
          <t>미술과 매체</t>
        </is>
      </c>
      <c r="AE3" s="94" t="inlineStr">
        <is>
          <t>정보</t>
        </is>
      </c>
      <c r="AF3" s="94" t="inlineStr">
        <is>
          <t>생활과학 탐구</t>
        </is>
      </c>
      <c r="AG3" s="94" t="inlineStr">
        <is>
          <t>지식 재산 일반</t>
        </is>
      </c>
      <c r="AH3" s="94" t="inlineStr">
        <is>
          <t>프랑스어</t>
        </is>
      </c>
      <c r="AI3" s="94" t="inlineStr">
        <is>
          <t xml:space="preserve">프랑스어 회화 </t>
        </is>
      </c>
      <c r="AJ3" s="94" t="inlineStr">
        <is>
          <t>프랑스어권 문화</t>
        </is>
      </c>
      <c r="AK3" s="94" t="inlineStr">
        <is>
          <t>생태와 환경</t>
        </is>
      </c>
      <c r="AL3" s="94" t="inlineStr">
        <is>
          <t xml:space="preserve">논리와 사고 </t>
        </is>
      </c>
      <c r="AM3" s="94" t="inlineStr">
        <is>
          <t>논술</t>
        </is>
      </c>
    </row>
    <row r="4">
      <c r="A4" s="103" t="inlineStr">
        <is>
          <t>영 어</t>
        </is>
      </c>
      <c r="B4" s="103" t="inlineStr">
        <is>
          <t>영어</t>
        </is>
      </c>
      <c r="C4" s="103" t="inlineStr">
        <is>
          <t>과목유형</t>
        </is>
      </c>
      <c r="D4" s="91" t="inlineStr">
        <is>
          <t>진로</t>
        </is>
      </c>
      <c r="E4" s="96" t="n"/>
      <c r="F4" s="94" t="inlineStr">
        <is>
          <t>문학</t>
        </is>
      </c>
      <c r="G4" s="94" t="inlineStr">
        <is>
          <t>직무 의사소통</t>
        </is>
      </c>
      <c r="H4" s="94" t="inlineStr">
        <is>
          <t>언어생활 탐구</t>
        </is>
      </c>
      <c r="I4" s="94" t="inlineStr">
        <is>
          <t>기본수학1</t>
        </is>
      </c>
      <c r="J4" s="94" t="inlineStr">
        <is>
          <t>확률과 통계</t>
        </is>
      </c>
      <c r="K4" s="94" t="inlineStr">
        <is>
          <t>경제 수학</t>
        </is>
      </c>
      <c r="L4" s="94" t="inlineStr">
        <is>
          <t>수학과제 탐구</t>
        </is>
      </c>
      <c r="M4" s="94" t="inlineStr">
        <is>
          <t>기본영어1</t>
        </is>
      </c>
      <c r="N4" s="94" t="inlineStr">
        <is>
          <t>영어 독해와 작문</t>
        </is>
      </c>
      <c r="O4" s="95" t="inlineStr">
        <is>
          <t xml:space="preserve">심화 영어 </t>
        </is>
      </c>
      <c r="P4" s="94" t="inlineStr">
        <is>
          <t>세계 문화와 영어</t>
        </is>
      </c>
      <c r="Q4" s="94" t="inlineStr">
        <is>
          <t>통합사회1</t>
        </is>
      </c>
      <c r="R4" s="94" t="inlineStr">
        <is>
          <t>사회와 문화</t>
        </is>
      </c>
      <c r="S4" s="94" t="inlineStr">
        <is>
          <t>동아시아 역사 기행</t>
        </is>
      </c>
      <c r="T4" s="94" t="inlineStr">
        <is>
          <t>사회문제 탐구</t>
        </is>
      </c>
      <c r="U4" s="94" t="inlineStr">
        <is>
          <t>과학탐구실험1</t>
        </is>
      </c>
      <c r="V4" s="94" t="inlineStr">
        <is>
          <t xml:space="preserve">생명과학 </t>
        </is>
      </c>
      <c r="W4" s="94" t="inlineStr">
        <is>
          <t xml:space="preserve">물질과 에너지 </t>
        </is>
      </c>
      <c r="X4" s="94" t="inlineStr">
        <is>
          <t>융합과학 탐구</t>
        </is>
      </c>
      <c r="Z4" s="94" t="inlineStr">
        <is>
          <t>스포츠 과학</t>
        </is>
      </c>
      <c r="AB4" s="94" t="inlineStr">
        <is>
          <t>연극</t>
        </is>
      </c>
      <c r="AC4" s="94" t="inlineStr">
        <is>
          <t xml:space="preserve">미술 창작 </t>
        </is>
      </c>
      <c r="AF4" s="95" t="inlineStr">
        <is>
          <t xml:space="preserve">인공지능 기초 </t>
        </is>
      </c>
      <c r="AG4" s="94" t="inlineStr">
        <is>
          <t xml:space="preserve">생애 설계와 자립 </t>
        </is>
      </c>
      <c r="AH4" s="94" t="inlineStr">
        <is>
          <t>스페인어</t>
        </is>
      </c>
      <c r="AI4" s="95" t="inlineStr">
        <is>
          <t>스페인어 회화</t>
        </is>
      </c>
      <c r="AJ4" s="94" t="inlineStr">
        <is>
          <t>스페인어권 문화</t>
        </is>
      </c>
      <c r="AL4" s="95" t="inlineStr">
        <is>
          <t>인간과 심리</t>
        </is>
      </c>
    </row>
    <row r="5" ht="24" customHeight="1">
      <c r="A5" s="104" t="inlineStr">
        <is>
          <t>사 회
(역사/도덕 포함)</t>
        </is>
      </c>
      <c r="B5" s="103" t="inlineStr">
        <is>
          <t>사회</t>
        </is>
      </c>
      <c r="C5" s="103" t="inlineStr">
        <is>
          <t>과목유형</t>
        </is>
      </c>
      <c r="D5" s="91" t="inlineStr">
        <is>
          <t>융합</t>
        </is>
      </c>
      <c r="E5" s="96" t="n"/>
      <c r="F5" s="96" t="n"/>
      <c r="G5" s="96" t="n"/>
      <c r="H5" s="96" t="n"/>
      <c r="I5" s="94" t="inlineStr">
        <is>
          <t>기본수학2</t>
        </is>
      </c>
      <c r="J5" s="96" t="n"/>
      <c r="K5" s="94" t="inlineStr">
        <is>
          <t>인공지능 수학</t>
        </is>
      </c>
      <c r="L5" s="96" t="n"/>
      <c r="M5" s="94" t="inlineStr">
        <is>
          <t>기본영어2</t>
        </is>
      </c>
      <c r="N5" s="97" t="n"/>
      <c r="O5" s="94" t="inlineStr">
        <is>
          <t xml:space="preserve">심화 영어 독해와 작문 </t>
        </is>
      </c>
      <c r="P5" s="97" t="n"/>
      <c r="Q5" s="94" t="inlineStr">
        <is>
          <t>통합사회2</t>
        </is>
      </c>
      <c r="R5" s="94" t="inlineStr">
        <is>
          <t>현대사회와 윤리</t>
        </is>
      </c>
      <c r="S5" s="94" t="inlineStr">
        <is>
          <t>정치</t>
        </is>
      </c>
      <c r="T5" s="94" t="inlineStr">
        <is>
          <t>금융과 경제생활</t>
        </is>
      </c>
      <c r="U5" s="94" t="inlineStr">
        <is>
          <t>과학탐구실험2</t>
        </is>
      </c>
      <c r="V5" s="95" t="inlineStr">
        <is>
          <t>지구과학</t>
        </is>
      </c>
      <c r="W5" s="94" t="inlineStr">
        <is>
          <t>화학 반응의 세계</t>
        </is>
      </c>
      <c r="AC5" s="94" t="inlineStr">
        <is>
          <t>미술 감상과 비평</t>
        </is>
      </c>
      <c r="AF5" s="95" t="inlineStr">
        <is>
          <t>데이터 과학</t>
        </is>
      </c>
      <c r="AG5" s="94" t="inlineStr">
        <is>
          <t>아동발달과 부모</t>
        </is>
      </c>
      <c r="AH5" s="94" t="inlineStr">
        <is>
          <t>중국어</t>
        </is>
      </c>
      <c r="AI5" s="94" t="inlineStr">
        <is>
          <t xml:space="preserve">중국어 회화 </t>
        </is>
      </c>
      <c r="AJ5" s="94" t="inlineStr">
        <is>
          <t xml:space="preserve">중국 문화 </t>
        </is>
      </c>
      <c r="AL5" s="94" t="inlineStr">
        <is>
          <t xml:space="preserve">교육의 이해 </t>
        </is>
      </c>
    </row>
    <row r="6">
      <c r="A6" s="103" t="inlineStr">
        <is>
          <t>과 학</t>
        </is>
      </c>
      <c r="B6" s="103" t="inlineStr">
        <is>
          <t>과학</t>
        </is>
      </c>
      <c r="C6" s="103" t="inlineStr">
        <is>
          <t>과목유형</t>
        </is>
      </c>
      <c r="E6" s="96" t="n"/>
      <c r="F6" s="96" t="n"/>
      <c r="G6" s="96" t="n"/>
      <c r="H6" s="96" t="n"/>
      <c r="I6" s="96" t="n"/>
      <c r="J6" s="96" t="n"/>
      <c r="K6" s="94" t="inlineStr">
        <is>
          <t>직무 수학</t>
        </is>
      </c>
      <c r="L6" s="96" t="n"/>
      <c r="M6" s="96" t="n"/>
      <c r="N6" s="96" t="n"/>
      <c r="O6" s="94" t="inlineStr">
        <is>
          <t>직무 영어</t>
        </is>
      </c>
      <c r="P6" s="97" t="n"/>
      <c r="S6" s="95" t="inlineStr">
        <is>
          <t xml:space="preserve">법과 사회 </t>
        </is>
      </c>
      <c r="T6" s="94" t="inlineStr">
        <is>
          <t>윤리문제 탐구</t>
        </is>
      </c>
      <c r="W6" s="94" t="inlineStr">
        <is>
          <t xml:space="preserve">세포와 물질대사 </t>
        </is>
      </c>
      <c r="AG6" s="94" t="inlineStr">
        <is>
          <t>소프트웨어와 생활</t>
        </is>
      </c>
      <c r="AH6" s="94" t="inlineStr">
        <is>
          <t xml:space="preserve">일본어 </t>
        </is>
      </c>
      <c r="AI6" s="95" t="inlineStr">
        <is>
          <t>일본어 회화</t>
        </is>
      </c>
      <c r="AJ6" s="94" t="inlineStr">
        <is>
          <t>일본 문화</t>
        </is>
      </c>
      <c r="AL6" s="95" t="inlineStr">
        <is>
          <t>삶과 종교</t>
        </is>
      </c>
    </row>
    <row r="7">
      <c r="A7" s="103" t="inlineStr">
        <is>
          <t>체 육</t>
        </is>
      </c>
      <c r="B7" s="103" t="inlineStr">
        <is>
          <t>체육</t>
        </is>
      </c>
      <c r="C7" s="103" t="inlineStr">
        <is>
          <t>과목유형2</t>
        </is>
      </c>
      <c r="E7" s="96" t="n"/>
      <c r="F7" s="96" t="n"/>
      <c r="G7" s="96" t="n"/>
      <c r="H7" s="96" t="n"/>
      <c r="I7" s="96" t="n"/>
      <c r="J7" s="96" t="n"/>
      <c r="K7" s="96" t="n"/>
      <c r="L7" s="96" t="n"/>
      <c r="M7" s="96" t="n"/>
      <c r="N7" s="96" t="n"/>
      <c r="O7" s="98" t="n"/>
      <c r="P7" s="97" t="n"/>
      <c r="S7" s="95" t="inlineStr">
        <is>
          <t>경제</t>
        </is>
      </c>
      <c r="T7" s="94" t="inlineStr">
        <is>
          <t>기후변화와 지속가능한 세계</t>
        </is>
      </c>
      <c r="W7" s="94" t="inlineStr">
        <is>
          <t>생물의 유전</t>
        </is>
      </c>
      <c r="AH7" s="94" t="inlineStr">
        <is>
          <t>러시아어</t>
        </is>
      </c>
      <c r="AI7" s="94" t="inlineStr">
        <is>
          <t xml:space="preserve">러시아어 회화 </t>
        </is>
      </c>
      <c r="AJ7" s="94" t="inlineStr">
        <is>
          <t xml:space="preserve">러시아 문화 </t>
        </is>
      </c>
      <c r="AL7" s="94" t="inlineStr">
        <is>
          <t>보건</t>
        </is>
      </c>
    </row>
    <row r="8">
      <c r="A8" s="103" t="inlineStr">
        <is>
          <t>예 술</t>
        </is>
      </c>
      <c r="B8" s="103" t="inlineStr">
        <is>
          <t>예술</t>
        </is>
      </c>
      <c r="C8" s="103" t="inlineStr">
        <is>
          <t>과목유형2</t>
        </is>
      </c>
      <c r="E8" s="96" t="n"/>
      <c r="F8" s="96" t="n"/>
      <c r="G8" s="96" t="n"/>
      <c r="H8" s="96" t="n"/>
      <c r="I8" s="96" t="n"/>
      <c r="J8" s="96" t="n"/>
      <c r="K8" s="96" t="n"/>
      <c r="L8" s="96" t="n"/>
      <c r="M8" s="96" t="n"/>
      <c r="N8" s="96" t="n"/>
      <c r="O8" s="98" t="n"/>
      <c r="P8" s="96" t="n"/>
      <c r="S8" s="95" t="inlineStr">
        <is>
          <t xml:space="preserve">윤리와 사상 </t>
        </is>
      </c>
      <c r="W8" s="94" t="inlineStr">
        <is>
          <t xml:space="preserve">지구시스템과학 </t>
        </is>
      </c>
      <c r="AH8" s="94" t="inlineStr">
        <is>
          <t>아랍어</t>
        </is>
      </c>
      <c r="AI8" s="95" t="inlineStr">
        <is>
          <t>아랍어 회화</t>
        </is>
      </c>
      <c r="AJ8" s="94" t="inlineStr">
        <is>
          <t>아랍 문화</t>
        </is>
      </c>
    </row>
    <row r="9">
      <c r="A9" s="103" t="inlineStr">
        <is>
          <t>기술∙가정/정보</t>
        </is>
      </c>
      <c r="B9" s="103" t="inlineStr">
        <is>
          <t>기가정</t>
        </is>
      </c>
      <c r="C9" s="103" t="inlineStr">
        <is>
          <t>과목유형2</t>
        </is>
      </c>
      <c r="E9" s="96" t="n"/>
      <c r="F9" s="96" t="n"/>
      <c r="G9" s="96" t="n"/>
      <c r="H9" s="96" t="n"/>
      <c r="I9" s="96" t="n"/>
      <c r="J9" s="96" t="n"/>
      <c r="K9" s="96" t="n"/>
      <c r="L9" s="96" t="n"/>
      <c r="M9" s="96" t="n"/>
      <c r="N9" s="96" t="n"/>
      <c r="O9" s="97" t="n"/>
      <c r="P9" s="96" t="n"/>
      <c r="S9" s="94" t="inlineStr">
        <is>
          <t>인문학과 윤리</t>
        </is>
      </c>
      <c r="W9" s="94" t="inlineStr">
        <is>
          <t>행성우주과학</t>
        </is>
      </c>
      <c r="AH9" s="94" t="inlineStr">
        <is>
          <t>베트남어</t>
        </is>
      </c>
      <c r="AI9" s="94" t="inlineStr">
        <is>
          <t>베트남어 회화</t>
        </is>
      </c>
      <c r="AJ9" s="94" t="inlineStr">
        <is>
          <t>베트남 문화</t>
        </is>
      </c>
    </row>
    <row r="10">
      <c r="A10" s="103" t="inlineStr">
        <is>
          <t>제2외국어/한문</t>
        </is>
      </c>
      <c r="B10" s="103" t="inlineStr">
        <is>
          <t>외한</t>
        </is>
      </c>
      <c r="C10" s="103" t="inlineStr">
        <is>
          <t>과목유형2</t>
        </is>
      </c>
      <c r="E10" s="96" t="n"/>
      <c r="F10" s="96" t="n"/>
      <c r="G10" s="96" t="n"/>
      <c r="H10" s="96" t="n"/>
      <c r="I10" s="96" t="n"/>
      <c r="J10" s="96" t="n"/>
      <c r="K10" s="96" t="n"/>
      <c r="L10" s="96" t="n"/>
      <c r="M10" s="96" t="n"/>
      <c r="N10" s="96" t="n"/>
      <c r="O10" s="97" t="n"/>
      <c r="P10" s="96" t="n"/>
      <c r="S10" s="94" t="inlineStr">
        <is>
          <t>국제 관계의 이해</t>
        </is>
      </c>
      <c r="AH10" s="94" t="inlineStr">
        <is>
          <t>한문</t>
        </is>
      </c>
      <c r="AI10" s="95" t="inlineStr">
        <is>
          <t>심화 독일어</t>
        </is>
      </c>
      <c r="AJ10" s="94" t="inlineStr">
        <is>
          <t>언어생활과 한자</t>
        </is>
      </c>
    </row>
    <row r="11">
      <c r="A11" s="103" t="inlineStr">
        <is>
          <t>교 양</t>
        </is>
      </c>
      <c r="B11" s="103" t="inlineStr">
        <is>
          <t>교양</t>
        </is>
      </c>
      <c r="C11" s="103" t="inlineStr">
        <is>
          <t>과목유형2</t>
        </is>
      </c>
      <c r="AI11" s="94" t="inlineStr">
        <is>
          <t xml:space="preserve">심화 프랑스어 </t>
        </is>
      </c>
    </row>
    <row r="12">
      <c r="AI12" s="95" t="inlineStr">
        <is>
          <t>심화 스페인어</t>
        </is>
      </c>
    </row>
    <row r="13">
      <c r="D13" s="101" t="inlineStr">
        <is>
          <t>과목명</t>
        </is>
      </c>
      <c r="E13" s="101" t="inlineStr">
        <is>
          <t>기본학점</t>
        </is>
      </c>
      <c r="F13" s="101" t="inlineStr">
        <is>
          <t>허용하한</t>
        </is>
      </c>
      <c r="G13" s="101" t="inlineStr">
        <is>
          <t>허용상한</t>
        </is>
      </c>
      <c r="J13" s="165" t="inlineStr">
        <is>
          <t>비고</t>
        </is>
      </c>
      <c r="K13" s="166" t="inlineStr">
        <is>
          <t>과목 개설 유형</t>
        </is>
      </c>
      <c r="AI13" s="94" t="inlineStr">
        <is>
          <t xml:space="preserve">심화 중국어 </t>
        </is>
      </c>
    </row>
    <row r="14">
      <c r="D14" s="99" t="inlineStr">
        <is>
          <t>공통국어1</t>
        </is>
      </c>
      <c r="E14" s="101" t="n">
        <v>4</v>
      </c>
      <c r="F14" s="101" t="n">
        <v>3</v>
      </c>
      <c r="G14" s="101" t="n">
        <v>4</v>
      </c>
      <c r="J14" s="165" t="inlineStr">
        <is>
          <t>특목고 선택 과목</t>
        </is>
      </c>
      <c r="K14" s="166" t="inlineStr">
        <is>
          <t>공유캠퍼스</t>
        </is>
      </c>
      <c r="AI14" s="95" t="inlineStr">
        <is>
          <t>심화 일본어</t>
        </is>
      </c>
    </row>
    <row r="15">
      <c r="D15" s="99" t="inlineStr">
        <is>
          <t>공통국어2</t>
        </is>
      </c>
      <c r="E15" s="101" t="n">
        <v>4</v>
      </c>
      <c r="F15" s="101" t="n">
        <v>3</v>
      </c>
      <c r="G15" s="101" t="n">
        <v>4</v>
      </c>
      <c r="J15" s="165" t="inlineStr">
        <is>
          <t>전문 교과</t>
        </is>
      </c>
      <c r="K15" s="166" t="inlineStr">
        <is>
          <t>온라인학교</t>
        </is>
      </c>
      <c r="AI15" s="94" t="inlineStr">
        <is>
          <t xml:space="preserve">심화 러시아어 </t>
        </is>
      </c>
    </row>
    <row r="16">
      <c r="D16" s="99" t="inlineStr">
        <is>
          <t>공통수학1</t>
        </is>
      </c>
      <c r="E16" s="101" t="n">
        <v>4</v>
      </c>
      <c r="F16" s="101" t="n">
        <v>3</v>
      </c>
      <c r="G16" s="101" t="n">
        <v>4</v>
      </c>
      <c r="J16" s="165" t="inlineStr">
        <is>
          <t>교육감 승인 과목</t>
        </is>
      </c>
      <c r="K16" s="166" t="inlineStr">
        <is>
          <t>학교 밖 교육</t>
        </is>
      </c>
      <c r="AI16" s="95" t="inlineStr">
        <is>
          <t>심화 아랍어</t>
        </is>
      </c>
    </row>
    <row r="17">
      <c r="D17" s="99" t="inlineStr">
        <is>
          <t>공통수학2</t>
        </is>
      </c>
      <c r="E17" s="101" t="n">
        <v>4</v>
      </c>
      <c r="F17" s="101" t="n">
        <v>3</v>
      </c>
      <c r="G17" s="101" t="n">
        <v>4</v>
      </c>
      <c r="J17" s="165" t="inlineStr">
        <is>
          <t>교육감 승인 과목(특목고)</t>
        </is>
      </c>
      <c r="AI17" s="94" t="inlineStr">
        <is>
          <t>심화 베트남어</t>
        </is>
      </c>
    </row>
    <row r="18">
      <c r="D18" s="99" t="inlineStr">
        <is>
          <t>기본수학1</t>
        </is>
      </c>
      <c r="E18" s="101" t="n">
        <v>4</v>
      </c>
      <c r="F18" s="101" t="n">
        <v>3</v>
      </c>
      <c r="G18" s="101" t="n">
        <v>4</v>
      </c>
      <c r="J18" s="165" t="inlineStr">
        <is>
          <t>교육감 승인 과목(전문)</t>
        </is>
      </c>
      <c r="K18" s="207" t="n"/>
      <c r="AI18" s="94" t="inlineStr">
        <is>
          <t>한문 고전 읽기</t>
        </is>
      </c>
    </row>
    <row r="19">
      <c r="D19" s="99" t="inlineStr">
        <is>
          <t>기본수학2</t>
        </is>
      </c>
      <c r="E19" s="101" t="n">
        <v>4</v>
      </c>
      <c r="F19" s="101" t="n">
        <v>3</v>
      </c>
      <c r="G19" s="101" t="n">
        <v>4</v>
      </c>
      <c r="J19" s="165" t="inlineStr">
        <is>
          <t>타 시·도 교육감 승인 과목</t>
        </is>
      </c>
      <c r="K19" s="207" t="n"/>
    </row>
    <row r="20">
      <c r="D20" s="99" t="inlineStr">
        <is>
          <t>공통영어1</t>
        </is>
      </c>
      <c r="E20" s="101" t="n">
        <v>4</v>
      </c>
      <c r="F20" s="101" t="n">
        <v>3</v>
      </c>
      <c r="G20" s="101" t="n">
        <v>4</v>
      </c>
      <c r="J20" s="165" t="inlineStr">
        <is>
          <t>타 시·도 교육감 승인 과목(특목고)</t>
        </is>
      </c>
      <c r="K20" s="207" t="n"/>
    </row>
    <row r="21">
      <c r="D21" s="99" t="inlineStr">
        <is>
          <t>공통영어2</t>
        </is>
      </c>
      <c r="E21" s="101" t="n">
        <v>4</v>
      </c>
      <c r="F21" s="101" t="n">
        <v>3</v>
      </c>
      <c r="G21" s="101" t="n">
        <v>4</v>
      </c>
      <c r="J21" s="165" t="inlineStr">
        <is>
          <t>타 시·도 교육감 승인 과목(전문)</t>
        </is>
      </c>
      <c r="K21" s="207" t="n"/>
    </row>
    <row r="22">
      <c r="D22" s="99" t="inlineStr">
        <is>
          <t>기본영어1</t>
        </is>
      </c>
      <c r="E22" s="101" t="n">
        <v>4</v>
      </c>
      <c r="F22" s="101" t="n">
        <v>3</v>
      </c>
      <c r="G22" s="101" t="n">
        <v>4</v>
      </c>
      <c r="J22" s="165" t="n"/>
      <c r="K22" s="208" t="n"/>
    </row>
    <row r="23">
      <c r="D23" s="99" t="inlineStr">
        <is>
          <t>기본영어2</t>
        </is>
      </c>
      <c r="E23" s="101" t="n">
        <v>4</v>
      </c>
      <c r="F23" s="101" t="n">
        <v>3</v>
      </c>
      <c r="G23" s="101" t="n">
        <v>4</v>
      </c>
    </row>
    <row r="24">
      <c r="D24" s="99" t="inlineStr">
        <is>
          <t>한국사1</t>
        </is>
      </c>
      <c r="E24" s="101" t="n">
        <v>3</v>
      </c>
      <c r="F24" s="101" t="n">
        <v>3</v>
      </c>
      <c r="G24" s="101" t="n">
        <v>3</v>
      </c>
    </row>
    <row r="25">
      <c r="D25" s="99" t="inlineStr">
        <is>
          <t>한국사2</t>
        </is>
      </c>
      <c r="E25" s="101" t="n">
        <v>3</v>
      </c>
      <c r="F25" s="101" t="n">
        <v>3</v>
      </c>
      <c r="G25" s="101" t="n">
        <v>3</v>
      </c>
    </row>
    <row r="26">
      <c r="D26" s="99" t="inlineStr">
        <is>
          <t>통합사회1</t>
        </is>
      </c>
      <c r="E26" s="101" t="n">
        <v>4</v>
      </c>
      <c r="F26" s="101" t="n">
        <v>3</v>
      </c>
      <c r="G26" s="101" t="n">
        <v>4</v>
      </c>
    </row>
    <row r="27">
      <c r="D27" s="99" t="inlineStr">
        <is>
          <t>통합사회2</t>
        </is>
      </c>
      <c r="E27" s="101" t="n">
        <v>4</v>
      </c>
      <c r="F27" s="101" t="n">
        <v>3</v>
      </c>
      <c r="G27" s="101" t="n">
        <v>4</v>
      </c>
    </row>
    <row r="28">
      <c r="D28" s="99" t="inlineStr">
        <is>
          <t>통합과학1</t>
        </is>
      </c>
      <c r="E28" s="101" t="n">
        <v>4</v>
      </c>
      <c r="F28" s="101" t="n">
        <v>3</v>
      </c>
      <c r="G28" s="101" t="n">
        <v>4</v>
      </c>
    </row>
    <row r="29">
      <c r="D29" s="99" t="inlineStr">
        <is>
          <t>통합과학2</t>
        </is>
      </c>
      <c r="E29" s="101" t="n">
        <v>4</v>
      </c>
      <c r="F29" s="101" t="n">
        <v>3</v>
      </c>
      <c r="G29" s="101" t="n">
        <v>4</v>
      </c>
    </row>
    <row r="30">
      <c r="D30" s="99" t="inlineStr">
        <is>
          <t>과학탐구실험1</t>
        </is>
      </c>
      <c r="E30" s="101" t="n">
        <v>1</v>
      </c>
      <c r="F30" s="101" t="n">
        <v>1</v>
      </c>
      <c r="G30" s="101" t="n">
        <v>1</v>
      </c>
    </row>
    <row r="31">
      <c r="D31" s="99" t="inlineStr">
        <is>
          <t>과학탐구실험2</t>
        </is>
      </c>
      <c r="E31" s="101" t="n">
        <v>1</v>
      </c>
      <c r="F31" s="101" t="n">
        <v>1</v>
      </c>
      <c r="G31" s="101" t="n">
        <v>1</v>
      </c>
    </row>
    <row r="32">
      <c r="D32" s="99" t="inlineStr">
        <is>
          <t xml:space="preserve">화법과 언어 </t>
        </is>
      </c>
      <c r="E32" s="101" t="n">
        <v>4</v>
      </c>
      <c r="F32" s="101" t="n">
        <v>3</v>
      </c>
      <c r="G32" s="101" t="n">
        <v>5</v>
      </c>
    </row>
    <row r="33">
      <c r="D33" s="99" t="inlineStr">
        <is>
          <t xml:space="preserve">독서와 작문 </t>
        </is>
      </c>
      <c r="E33" s="101" t="n">
        <v>4</v>
      </c>
      <c r="F33" s="101" t="n">
        <v>3</v>
      </c>
      <c r="G33" s="101" t="n">
        <v>5</v>
      </c>
    </row>
    <row r="34">
      <c r="D34" s="99" t="inlineStr">
        <is>
          <t>문학</t>
        </is>
      </c>
      <c r="E34" s="101" t="n">
        <v>4</v>
      </c>
      <c r="F34" s="101" t="n">
        <v>3</v>
      </c>
      <c r="G34" s="101" t="n">
        <v>5</v>
      </c>
    </row>
    <row r="35">
      <c r="D35" s="99" t="inlineStr">
        <is>
          <t>대수</t>
        </is>
      </c>
      <c r="E35" s="101" t="n">
        <v>4</v>
      </c>
      <c r="F35" s="101" t="n">
        <v>3</v>
      </c>
      <c r="G35" s="101" t="n">
        <v>5</v>
      </c>
    </row>
    <row r="36">
      <c r="D36" s="99" t="inlineStr">
        <is>
          <t>미적분Ⅰ</t>
        </is>
      </c>
      <c r="E36" s="101" t="n">
        <v>4</v>
      </c>
      <c r="F36" s="101" t="n">
        <v>3</v>
      </c>
      <c r="G36" s="101" t="n">
        <v>5</v>
      </c>
    </row>
    <row r="37">
      <c r="D37" s="99" t="inlineStr">
        <is>
          <t>확률과 통계</t>
        </is>
      </c>
      <c r="E37" s="101" t="n">
        <v>4</v>
      </c>
      <c r="F37" s="101" t="n">
        <v>3</v>
      </c>
      <c r="G37" s="101" t="n">
        <v>5</v>
      </c>
    </row>
    <row r="38">
      <c r="D38" s="99" t="inlineStr">
        <is>
          <t>영어Ⅰ</t>
        </is>
      </c>
      <c r="E38" s="101" t="n">
        <v>4</v>
      </c>
      <c r="F38" s="101" t="n">
        <v>3</v>
      </c>
      <c r="G38" s="101" t="n">
        <v>5</v>
      </c>
    </row>
    <row r="39">
      <c r="D39" s="100" t="inlineStr">
        <is>
          <t>영어Ⅱ</t>
        </is>
      </c>
      <c r="E39" s="101" t="n">
        <v>4</v>
      </c>
      <c r="F39" s="101" t="n">
        <v>3</v>
      </c>
      <c r="G39" s="101" t="n">
        <v>5</v>
      </c>
    </row>
    <row r="40">
      <c r="D40" s="99" t="inlineStr">
        <is>
          <t>영어 독해와 작문</t>
        </is>
      </c>
      <c r="E40" s="101" t="n">
        <v>4</v>
      </c>
      <c r="F40" s="101" t="n">
        <v>3</v>
      </c>
      <c r="G40" s="101" t="n">
        <v>5</v>
      </c>
    </row>
    <row r="41">
      <c r="D41" s="99" t="inlineStr">
        <is>
          <t>세계시민과 지리</t>
        </is>
      </c>
      <c r="E41" s="101" t="n">
        <v>4</v>
      </c>
      <c r="F41" s="101" t="n">
        <v>3</v>
      </c>
      <c r="G41" s="101" t="n">
        <v>5</v>
      </c>
    </row>
    <row r="42">
      <c r="D42" s="99" t="inlineStr">
        <is>
          <t>세계사</t>
        </is>
      </c>
      <c r="E42" s="101" t="n">
        <v>4</v>
      </c>
      <c r="F42" s="101" t="n">
        <v>3</v>
      </c>
      <c r="G42" s="101" t="n">
        <v>5</v>
      </c>
    </row>
    <row r="43">
      <c r="D43" s="99" t="inlineStr">
        <is>
          <t>사회와 문화</t>
        </is>
      </c>
      <c r="E43" s="101" t="n">
        <v>4</v>
      </c>
      <c r="F43" s="101" t="n">
        <v>3</v>
      </c>
      <c r="G43" s="101" t="n">
        <v>5</v>
      </c>
    </row>
    <row r="44">
      <c r="D44" s="99" t="inlineStr">
        <is>
          <t>현대사회와 윤리</t>
        </is>
      </c>
      <c r="E44" s="101" t="n">
        <v>4</v>
      </c>
      <c r="F44" s="101" t="n">
        <v>3</v>
      </c>
      <c r="G44" s="101" t="n">
        <v>5</v>
      </c>
    </row>
    <row r="45">
      <c r="D45" s="99" t="inlineStr">
        <is>
          <t>물리학</t>
        </is>
      </c>
      <c r="E45" s="101" t="n">
        <v>4</v>
      </c>
      <c r="F45" s="101" t="n">
        <v>3</v>
      </c>
      <c r="G45" s="101" t="n">
        <v>5</v>
      </c>
    </row>
    <row r="46">
      <c r="D46" s="100" t="inlineStr">
        <is>
          <t>화학</t>
        </is>
      </c>
      <c r="E46" s="101" t="n">
        <v>4</v>
      </c>
      <c r="F46" s="101" t="n">
        <v>3</v>
      </c>
      <c r="G46" s="101" t="n">
        <v>5</v>
      </c>
    </row>
    <row r="47">
      <c r="D47" s="99" t="inlineStr">
        <is>
          <t xml:space="preserve">생명과학 </t>
        </is>
      </c>
      <c r="E47" s="101" t="n">
        <v>4</v>
      </c>
      <c r="F47" s="101" t="n">
        <v>3</v>
      </c>
      <c r="G47" s="101" t="n">
        <v>5</v>
      </c>
    </row>
    <row r="48">
      <c r="D48" s="100" t="inlineStr">
        <is>
          <t>지구과학</t>
        </is>
      </c>
      <c r="E48" s="101" t="n">
        <v>4</v>
      </c>
      <c r="F48" s="101" t="n">
        <v>3</v>
      </c>
      <c r="G48" s="101" t="n">
        <v>5</v>
      </c>
    </row>
    <row r="49">
      <c r="D49" s="100" t="inlineStr">
        <is>
          <t>체육1</t>
        </is>
      </c>
      <c r="E49" s="101" t="n">
        <v>3</v>
      </c>
      <c r="F49" s="101" t="n">
        <v>2</v>
      </c>
      <c r="G49" s="101" t="n">
        <v>4</v>
      </c>
    </row>
    <row r="50">
      <c r="D50" s="100" t="inlineStr">
        <is>
          <t>체육2</t>
        </is>
      </c>
      <c r="E50" s="101" t="n">
        <v>3</v>
      </c>
      <c r="F50" s="101" t="n">
        <v>2</v>
      </c>
      <c r="G50" s="101" t="n">
        <v>4</v>
      </c>
    </row>
    <row r="51">
      <c r="D51" s="99" t="inlineStr">
        <is>
          <t>음악</t>
        </is>
      </c>
      <c r="E51" s="101" t="n">
        <v>3</v>
      </c>
      <c r="F51" s="101" t="n">
        <v>2</v>
      </c>
      <c r="G51" s="101" t="n">
        <v>4</v>
      </c>
    </row>
    <row r="52">
      <c r="D52" s="99" t="inlineStr">
        <is>
          <t>미술</t>
        </is>
      </c>
      <c r="E52" s="101" t="n">
        <v>3</v>
      </c>
      <c r="F52" s="101" t="n">
        <v>2</v>
      </c>
      <c r="G52" s="101" t="n">
        <v>4</v>
      </c>
    </row>
    <row r="53">
      <c r="D53" s="99" t="inlineStr">
        <is>
          <t>연극</t>
        </is>
      </c>
      <c r="E53" s="101" t="n">
        <v>3</v>
      </c>
      <c r="F53" s="101" t="n">
        <v>2</v>
      </c>
      <c r="G53" s="101" t="n">
        <v>4</v>
      </c>
    </row>
    <row r="54">
      <c r="D54" s="99" t="inlineStr">
        <is>
          <t>기술∙가정</t>
        </is>
      </c>
      <c r="E54" s="101" t="n">
        <v>4</v>
      </c>
      <c r="F54" s="101" t="n">
        <v>3</v>
      </c>
      <c r="G54" s="101" t="n">
        <v>5</v>
      </c>
    </row>
    <row r="55">
      <c r="D55" s="99" t="inlineStr">
        <is>
          <t>정보</t>
        </is>
      </c>
      <c r="E55" s="101" t="n">
        <v>4</v>
      </c>
      <c r="F55" s="101" t="n">
        <v>3</v>
      </c>
      <c r="G55" s="101" t="n">
        <v>5</v>
      </c>
    </row>
    <row r="56">
      <c r="D56" s="99" t="inlineStr">
        <is>
          <t xml:space="preserve">독일어 </t>
        </is>
      </c>
      <c r="E56" s="101" t="n">
        <v>4</v>
      </c>
      <c r="F56" s="101" t="n">
        <v>3</v>
      </c>
      <c r="G56" s="101" t="n">
        <v>5</v>
      </c>
    </row>
    <row r="57">
      <c r="D57" s="99" t="inlineStr">
        <is>
          <t>프랑스어</t>
        </is>
      </c>
      <c r="E57" s="101" t="n">
        <v>4</v>
      </c>
      <c r="F57" s="101" t="n">
        <v>3</v>
      </c>
      <c r="G57" s="101" t="n">
        <v>5</v>
      </c>
    </row>
    <row r="58">
      <c r="D58" s="99" t="inlineStr">
        <is>
          <t>스페인어</t>
        </is>
      </c>
      <c r="E58" s="101" t="n">
        <v>4</v>
      </c>
      <c r="F58" s="101" t="n">
        <v>3</v>
      </c>
      <c r="G58" s="101" t="n">
        <v>5</v>
      </c>
    </row>
    <row r="59">
      <c r="D59" s="99" t="inlineStr">
        <is>
          <t>중국어</t>
        </is>
      </c>
      <c r="E59" s="101" t="n">
        <v>4</v>
      </c>
      <c r="F59" s="101" t="n">
        <v>3</v>
      </c>
      <c r="G59" s="101" t="n">
        <v>5</v>
      </c>
    </row>
    <row r="60">
      <c r="D60" s="99" t="inlineStr">
        <is>
          <t xml:space="preserve">일본어 </t>
        </is>
      </c>
      <c r="E60" s="101" t="n">
        <v>4</v>
      </c>
      <c r="F60" s="101" t="n">
        <v>3</v>
      </c>
      <c r="G60" s="101" t="n">
        <v>5</v>
      </c>
    </row>
    <row r="61">
      <c r="D61" s="99" t="inlineStr">
        <is>
          <t>러시아어</t>
        </is>
      </c>
      <c r="E61" s="101" t="n">
        <v>4</v>
      </c>
      <c r="F61" s="101" t="n">
        <v>3</v>
      </c>
      <c r="G61" s="101" t="n">
        <v>5</v>
      </c>
    </row>
    <row r="62">
      <c r="D62" s="99" t="inlineStr">
        <is>
          <t>아랍어</t>
        </is>
      </c>
      <c r="E62" s="101" t="n">
        <v>4</v>
      </c>
      <c r="F62" s="101" t="n">
        <v>3</v>
      </c>
      <c r="G62" s="101" t="n">
        <v>5</v>
      </c>
    </row>
    <row r="63">
      <c r="D63" s="99" t="inlineStr">
        <is>
          <t>베트남어</t>
        </is>
      </c>
      <c r="E63" s="101" t="n">
        <v>4</v>
      </c>
      <c r="F63" s="101" t="n">
        <v>3</v>
      </c>
      <c r="G63" s="101" t="n">
        <v>5</v>
      </c>
    </row>
    <row r="64">
      <c r="D64" s="99" t="inlineStr">
        <is>
          <t>한문</t>
        </is>
      </c>
      <c r="E64" s="101" t="n">
        <v>4</v>
      </c>
      <c r="F64" s="101" t="n">
        <v>3</v>
      </c>
      <c r="G64" s="101" t="n">
        <v>5</v>
      </c>
    </row>
    <row r="65">
      <c r="D65" s="99" t="inlineStr">
        <is>
          <t xml:space="preserve">진로와 직업 </t>
        </is>
      </c>
      <c r="E65" s="101" t="n">
        <v>3</v>
      </c>
      <c r="F65" s="101" t="n">
        <v>2</v>
      </c>
      <c r="G65" s="101" t="n">
        <v>4</v>
      </c>
    </row>
    <row r="66">
      <c r="D66" s="99" t="inlineStr">
        <is>
          <t>생태와 환경</t>
        </is>
      </c>
      <c r="E66" s="101" t="n">
        <v>3</v>
      </c>
      <c r="F66" s="101" t="n">
        <v>2</v>
      </c>
      <c r="G66" s="101" t="n">
        <v>4</v>
      </c>
    </row>
    <row r="67">
      <c r="D67" s="99" t="inlineStr">
        <is>
          <t xml:space="preserve">주제 탐구 독서 </t>
        </is>
      </c>
      <c r="E67" s="101" t="n">
        <v>4</v>
      </c>
      <c r="F67" s="101" t="n">
        <v>3</v>
      </c>
      <c r="G67" s="101" t="n">
        <v>5</v>
      </c>
    </row>
    <row r="68">
      <c r="D68" s="99" t="inlineStr">
        <is>
          <t>문학과 영상</t>
        </is>
      </c>
      <c r="E68" s="101" t="n">
        <v>4</v>
      </c>
      <c r="F68" s="101" t="n">
        <v>3</v>
      </c>
      <c r="G68" s="101" t="n">
        <v>5</v>
      </c>
    </row>
    <row r="69">
      <c r="D69" s="99" t="inlineStr">
        <is>
          <t>직무 의사소통</t>
        </is>
      </c>
      <c r="E69" s="101" t="n">
        <v>4</v>
      </c>
      <c r="F69" s="101" t="n">
        <v>3</v>
      </c>
      <c r="G69" s="101" t="n">
        <v>5</v>
      </c>
    </row>
    <row r="70">
      <c r="D70" s="99" t="inlineStr">
        <is>
          <t>기하</t>
        </is>
      </c>
      <c r="E70" s="101" t="n">
        <v>4</v>
      </c>
      <c r="F70" s="101" t="n">
        <v>3</v>
      </c>
      <c r="G70" s="101" t="n">
        <v>5</v>
      </c>
    </row>
    <row r="71">
      <c r="D71" s="99" t="inlineStr">
        <is>
          <t>미적분Ⅱ</t>
        </is>
      </c>
      <c r="E71" s="101" t="n">
        <v>4</v>
      </c>
      <c r="F71" s="101" t="n">
        <v>3</v>
      </c>
      <c r="G71" s="101" t="n">
        <v>5</v>
      </c>
    </row>
    <row r="72">
      <c r="D72" s="99" t="inlineStr">
        <is>
          <t>경제 수학</t>
        </is>
      </c>
      <c r="E72" s="101" t="n">
        <v>4</v>
      </c>
      <c r="F72" s="101" t="n">
        <v>3</v>
      </c>
      <c r="G72" s="101" t="n">
        <v>5</v>
      </c>
    </row>
    <row r="73">
      <c r="D73" s="99" t="inlineStr">
        <is>
          <t>인공지능 수학</t>
        </is>
      </c>
      <c r="E73" s="101" t="n">
        <v>4</v>
      </c>
      <c r="F73" s="101" t="n">
        <v>3</v>
      </c>
      <c r="G73" s="101" t="n">
        <v>5</v>
      </c>
    </row>
    <row r="74">
      <c r="D74" s="99" t="inlineStr">
        <is>
          <t>직무 수학</t>
        </is>
      </c>
      <c r="E74" s="101" t="n">
        <v>4</v>
      </c>
      <c r="F74" s="101" t="n">
        <v>3</v>
      </c>
      <c r="G74" s="101" t="n">
        <v>5</v>
      </c>
    </row>
    <row r="75">
      <c r="D75" s="99" t="inlineStr">
        <is>
          <t>영미 문학 읽기</t>
        </is>
      </c>
      <c r="E75" s="101" t="n">
        <v>4</v>
      </c>
      <c r="F75" s="101" t="n">
        <v>3</v>
      </c>
      <c r="G75" s="101" t="n">
        <v>5</v>
      </c>
    </row>
    <row r="76">
      <c r="D76" s="100" t="inlineStr">
        <is>
          <t>영어 발표와 토론</t>
        </is>
      </c>
      <c r="E76" s="101" t="n">
        <v>4</v>
      </c>
      <c r="F76" s="101" t="n">
        <v>3</v>
      </c>
      <c r="G76" s="101" t="n">
        <v>5</v>
      </c>
    </row>
    <row r="77">
      <c r="D77" s="100" t="inlineStr">
        <is>
          <t xml:space="preserve">심화 영어 </t>
        </is>
      </c>
      <c r="E77" s="101" t="n">
        <v>4</v>
      </c>
      <c r="F77" s="101" t="n">
        <v>3</v>
      </c>
      <c r="G77" s="101" t="n">
        <v>5</v>
      </c>
    </row>
    <row r="78">
      <c r="D78" s="99" t="inlineStr">
        <is>
          <t xml:space="preserve">심화 영어 독해와 작문 </t>
        </is>
      </c>
      <c r="E78" s="101" t="n">
        <v>4</v>
      </c>
      <c r="F78" s="101" t="n">
        <v>3</v>
      </c>
      <c r="G78" s="101" t="n">
        <v>5</v>
      </c>
    </row>
    <row r="79">
      <c r="D79" s="99" t="inlineStr">
        <is>
          <t>직무 영어</t>
        </is>
      </c>
      <c r="E79" s="101" t="n">
        <v>4</v>
      </c>
      <c r="F79" s="101" t="n">
        <v>3</v>
      </c>
      <c r="G79" s="101" t="n">
        <v>5</v>
      </c>
    </row>
    <row r="80">
      <c r="D80" s="100" t="inlineStr">
        <is>
          <t>한국지리 탐구</t>
        </is>
      </c>
      <c r="E80" s="101" t="n">
        <v>4</v>
      </c>
      <c r="F80" s="101" t="n">
        <v>3</v>
      </c>
      <c r="G80" s="101" t="n">
        <v>5</v>
      </c>
    </row>
    <row r="81">
      <c r="D81" s="99" t="inlineStr">
        <is>
          <t xml:space="preserve">도시의 미래 탐구 </t>
        </is>
      </c>
      <c r="E81" s="101" t="n">
        <v>4</v>
      </c>
      <c r="F81" s="101" t="n">
        <v>3</v>
      </c>
      <c r="G81" s="101" t="n">
        <v>5</v>
      </c>
    </row>
    <row r="82">
      <c r="D82" s="99" t="inlineStr">
        <is>
          <t>동아시아 역사 기행</t>
        </is>
      </c>
      <c r="E82" s="101" t="n">
        <v>4</v>
      </c>
      <c r="F82" s="101" t="n">
        <v>3</v>
      </c>
      <c r="G82" s="101" t="n">
        <v>5</v>
      </c>
    </row>
    <row r="83">
      <c r="D83" s="99" t="inlineStr">
        <is>
          <t>정치</t>
        </is>
      </c>
      <c r="E83" s="101" t="n">
        <v>4</v>
      </c>
      <c r="F83" s="101" t="n">
        <v>3</v>
      </c>
      <c r="G83" s="101" t="n">
        <v>5</v>
      </c>
    </row>
    <row r="84">
      <c r="D84" s="100" t="inlineStr">
        <is>
          <t xml:space="preserve">법과 사회 </t>
        </is>
      </c>
      <c r="E84" s="101" t="n">
        <v>4</v>
      </c>
      <c r="F84" s="101" t="n">
        <v>3</v>
      </c>
      <c r="G84" s="101" t="n">
        <v>5</v>
      </c>
    </row>
    <row r="85">
      <c r="D85" s="100" t="inlineStr">
        <is>
          <t>경제</t>
        </is>
      </c>
      <c r="E85" s="101" t="n">
        <v>4</v>
      </c>
      <c r="F85" s="101" t="n">
        <v>3</v>
      </c>
      <c r="G85" s="101" t="n">
        <v>5</v>
      </c>
    </row>
    <row r="86">
      <c r="D86" s="100" t="inlineStr">
        <is>
          <t xml:space="preserve">윤리와 사상 </t>
        </is>
      </c>
      <c r="E86" s="101" t="n">
        <v>4</v>
      </c>
      <c r="F86" s="101" t="n">
        <v>3</v>
      </c>
      <c r="G86" s="101" t="n">
        <v>5</v>
      </c>
    </row>
    <row r="87">
      <c r="D87" s="99" t="inlineStr">
        <is>
          <t>인문학과 윤리</t>
        </is>
      </c>
      <c r="E87" s="101" t="n">
        <v>4</v>
      </c>
      <c r="F87" s="101" t="n">
        <v>3</v>
      </c>
      <c r="G87" s="101" t="n">
        <v>5</v>
      </c>
    </row>
    <row r="88">
      <c r="D88" s="99" t="inlineStr">
        <is>
          <t>국제 관계의 이해</t>
        </is>
      </c>
      <c r="E88" s="101" t="n">
        <v>4</v>
      </c>
      <c r="F88" s="101" t="n">
        <v>3</v>
      </c>
      <c r="G88" s="101" t="n">
        <v>5</v>
      </c>
    </row>
    <row r="89">
      <c r="D89" s="99" t="inlineStr">
        <is>
          <t xml:space="preserve">역학과 에너지 </t>
        </is>
      </c>
      <c r="E89" s="101" t="n">
        <v>4</v>
      </c>
      <c r="F89" s="101" t="n">
        <v>3</v>
      </c>
      <c r="G89" s="101" t="n">
        <v>5</v>
      </c>
    </row>
    <row r="90">
      <c r="D90" s="99" t="inlineStr">
        <is>
          <t>전자기와 양자</t>
        </is>
      </c>
      <c r="E90" s="101" t="n">
        <v>4</v>
      </c>
      <c r="F90" s="101" t="n">
        <v>3</v>
      </c>
      <c r="G90" s="101" t="n">
        <v>5</v>
      </c>
    </row>
    <row r="91">
      <c r="D91" s="99" t="inlineStr">
        <is>
          <t xml:space="preserve">물질과 에너지 </t>
        </is>
      </c>
      <c r="E91" s="101" t="n">
        <v>4</v>
      </c>
      <c r="F91" s="101" t="n">
        <v>3</v>
      </c>
      <c r="G91" s="101" t="n">
        <v>5</v>
      </c>
    </row>
    <row r="92">
      <c r="D92" s="99" t="inlineStr">
        <is>
          <t>화학 반응의 세계</t>
        </is>
      </c>
      <c r="E92" s="101" t="n">
        <v>4</v>
      </c>
      <c r="F92" s="101" t="n">
        <v>3</v>
      </c>
      <c r="G92" s="101" t="n">
        <v>5</v>
      </c>
    </row>
    <row r="93">
      <c r="D93" s="99" t="inlineStr">
        <is>
          <t xml:space="preserve">세포와 물질대사 </t>
        </is>
      </c>
      <c r="E93" s="101" t="n">
        <v>4</v>
      </c>
      <c r="F93" s="101" t="n">
        <v>3</v>
      </c>
      <c r="G93" s="101" t="n">
        <v>5</v>
      </c>
    </row>
    <row r="94">
      <c r="D94" s="99" t="inlineStr">
        <is>
          <t>생물의 유전</t>
        </is>
      </c>
      <c r="E94" s="101" t="n">
        <v>4</v>
      </c>
      <c r="F94" s="101" t="n">
        <v>3</v>
      </c>
      <c r="G94" s="101" t="n">
        <v>5</v>
      </c>
    </row>
    <row r="95">
      <c r="D95" s="99" t="inlineStr">
        <is>
          <t xml:space="preserve">지구시스템과학 </t>
        </is>
      </c>
      <c r="E95" s="101" t="n">
        <v>4</v>
      </c>
      <c r="F95" s="101" t="n">
        <v>3</v>
      </c>
      <c r="G95" s="101" t="n">
        <v>5</v>
      </c>
    </row>
    <row r="96">
      <c r="D96" s="99" t="inlineStr">
        <is>
          <t>행성우주과학</t>
        </is>
      </c>
      <c r="E96" s="101" t="n">
        <v>4</v>
      </c>
      <c r="F96" s="101" t="n">
        <v>3</v>
      </c>
      <c r="G96" s="101" t="n">
        <v>5</v>
      </c>
    </row>
    <row r="97">
      <c r="D97" s="99" t="inlineStr">
        <is>
          <t xml:space="preserve">운동과 건강 </t>
        </is>
      </c>
      <c r="E97" s="101" t="n">
        <v>3</v>
      </c>
      <c r="F97" s="101" t="n">
        <v>2</v>
      </c>
      <c r="G97" s="101" t="n">
        <v>4</v>
      </c>
    </row>
    <row r="98">
      <c r="D98" s="99" t="inlineStr">
        <is>
          <t>스포츠 문화</t>
        </is>
      </c>
      <c r="E98" s="102" t="n">
        <v>2</v>
      </c>
      <c r="F98" s="102" t="n">
        <v>1</v>
      </c>
      <c r="G98" s="102" t="n">
        <v>2</v>
      </c>
    </row>
    <row r="99">
      <c r="D99" s="99" t="inlineStr">
        <is>
          <t>스포츠 과학</t>
        </is>
      </c>
      <c r="E99" s="102" t="n">
        <v>2</v>
      </c>
      <c r="F99" s="102" t="n">
        <v>1</v>
      </c>
      <c r="G99" s="102" t="n">
        <v>2</v>
      </c>
    </row>
    <row r="100">
      <c r="D100" s="99" t="inlineStr">
        <is>
          <t>음악 연주와 창작</t>
        </is>
      </c>
      <c r="E100" s="101" t="n">
        <v>3</v>
      </c>
      <c r="F100" s="101" t="n">
        <v>2</v>
      </c>
      <c r="G100" s="101" t="n">
        <v>4</v>
      </c>
    </row>
    <row r="101">
      <c r="D101" s="99" t="inlineStr">
        <is>
          <t>음악 감상과 비평</t>
        </is>
      </c>
      <c r="E101" s="101" t="n">
        <v>3</v>
      </c>
      <c r="F101" s="101" t="n">
        <v>2</v>
      </c>
      <c r="G101" s="101" t="n">
        <v>4</v>
      </c>
    </row>
    <row r="102">
      <c r="D102" s="99" t="inlineStr">
        <is>
          <t xml:space="preserve">미술 창작 </t>
        </is>
      </c>
      <c r="E102" s="101" t="n">
        <v>3</v>
      </c>
      <c r="F102" s="101" t="n">
        <v>2</v>
      </c>
      <c r="G102" s="101" t="n">
        <v>4</v>
      </c>
    </row>
    <row r="103">
      <c r="D103" s="99" t="inlineStr">
        <is>
          <t>미술 감상과 비평</t>
        </is>
      </c>
      <c r="E103" s="101" t="n">
        <v>3</v>
      </c>
      <c r="F103" s="101" t="n">
        <v>2</v>
      </c>
      <c r="G103" s="101" t="n">
        <v>4</v>
      </c>
    </row>
    <row r="104">
      <c r="D104" s="99" t="inlineStr">
        <is>
          <t>로봇과 공학세계</t>
        </is>
      </c>
      <c r="E104" s="101" t="n">
        <v>4</v>
      </c>
      <c r="F104" s="101" t="n">
        <v>3</v>
      </c>
      <c r="G104" s="101" t="n">
        <v>5</v>
      </c>
    </row>
    <row r="105">
      <c r="D105" s="99" t="inlineStr">
        <is>
          <t>생활과학 탐구</t>
        </is>
      </c>
      <c r="E105" s="101" t="n">
        <v>4</v>
      </c>
      <c r="F105" s="101" t="n">
        <v>3</v>
      </c>
      <c r="G105" s="101" t="n">
        <v>5</v>
      </c>
    </row>
    <row r="106">
      <c r="D106" s="100" t="inlineStr">
        <is>
          <t xml:space="preserve">인공지능 기초 </t>
        </is>
      </c>
      <c r="E106" s="101" t="n">
        <v>4</v>
      </c>
      <c r="F106" s="101" t="n">
        <v>3</v>
      </c>
      <c r="G106" s="101" t="n">
        <v>5</v>
      </c>
    </row>
    <row r="107">
      <c r="D107" s="100" t="inlineStr">
        <is>
          <t>데이터 과학</t>
        </is>
      </c>
      <c r="E107" s="101" t="n">
        <v>4</v>
      </c>
      <c r="F107" s="101" t="n">
        <v>3</v>
      </c>
      <c r="G107" s="101" t="n">
        <v>5</v>
      </c>
    </row>
    <row r="108">
      <c r="D108" s="100" t="inlineStr">
        <is>
          <t>독일어 회화</t>
        </is>
      </c>
      <c r="E108" s="101" t="n">
        <v>4</v>
      </c>
      <c r="F108" s="101" t="n">
        <v>3</v>
      </c>
      <c r="G108" s="101" t="n">
        <v>5</v>
      </c>
    </row>
    <row r="109">
      <c r="D109" s="99" t="inlineStr">
        <is>
          <t xml:space="preserve">프랑스어 회화 </t>
        </is>
      </c>
      <c r="E109" s="101" t="n">
        <v>4</v>
      </c>
      <c r="F109" s="101" t="n">
        <v>3</v>
      </c>
      <c r="G109" s="101" t="n">
        <v>5</v>
      </c>
    </row>
    <row r="110">
      <c r="D110" s="100" t="inlineStr">
        <is>
          <t>스페인어 회화</t>
        </is>
      </c>
      <c r="E110" s="101" t="n">
        <v>4</v>
      </c>
      <c r="F110" s="101" t="n">
        <v>3</v>
      </c>
      <c r="G110" s="101" t="n">
        <v>5</v>
      </c>
    </row>
    <row r="111">
      <c r="D111" s="99" t="inlineStr">
        <is>
          <t xml:space="preserve">중국어 회화 </t>
        </is>
      </c>
      <c r="E111" s="101" t="n">
        <v>4</v>
      </c>
      <c r="F111" s="101" t="n">
        <v>3</v>
      </c>
      <c r="G111" s="101" t="n">
        <v>5</v>
      </c>
    </row>
    <row r="112">
      <c r="D112" s="100" t="inlineStr">
        <is>
          <t>일본어 회화</t>
        </is>
      </c>
      <c r="E112" s="101" t="n">
        <v>4</v>
      </c>
      <c r="F112" s="101" t="n">
        <v>3</v>
      </c>
      <c r="G112" s="101" t="n">
        <v>5</v>
      </c>
    </row>
    <row r="113">
      <c r="D113" s="99" t="inlineStr">
        <is>
          <t xml:space="preserve">러시아어 회화 </t>
        </is>
      </c>
      <c r="E113" s="101" t="n">
        <v>4</v>
      </c>
      <c r="F113" s="101" t="n">
        <v>3</v>
      </c>
      <c r="G113" s="101" t="n">
        <v>5</v>
      </c>
    </row>
    <row r="114">
      <c r="D114" s="100" t="inlineStr">
        <is>
          <t>아랍어 회화</t>
        </is>
      </c>
      <c r="E114" s="101" t="n">
        <v>4</v>
      </c>
      <c r="F114" s="101" t="n">
        <v>3</v>
      </c>
      <c r="G114" s="101" t="n">
        <v>5</v>
      </c>
    </row>
    <row r="115">
      <c r="D115" s="99" t="inlineStr">
        <is>
          <t>베트남어 회화</t>
        </is>
      </c>
      <c r="E115" s="101" t="n">
        <v>4</v>
      </c>
      <c r="F115" s="101" t="n">
        <v>3</v>
      </c>
      <c r="G115" s="101" t="n">
        <v>5</v>
      </c>
    </row>
    <row r="116">
      <c r="D116" s="100" t="inlineStr">
        <is>
          <t>심화 독일어</t>
        </is>
      </c>
      <c r="E116" s="101" t="n">
        <v>4</v>
      </c>
      <c r="F116" s="101" t="n">
        <v>3</v>
      </c>
      <c r="G116" s="101" t="n">
        <v>5</v>
      </c>
    </row>
    <row r="117">
      <c r="D117" s="99" t="inlineStr">
        <is>
          <t xml:space="preserve">심화 프랑스어 </t>
        </is>
      </c>
      <c r="E117" s="101" t="n">
        <v>4</v>
      </c>
      <c r="F117" s="101" t="n">
        <v>3</v>
      </c>
      <c r="G117" s="101" t="n">
        <v>5</v>
      </c>
    </row>
    <row r="118">
      <c r="D118" s="100" t="inlineStr">
        <is>
          <t>심화 스페인어</t>
        </is>
      </c>
      <c r="E118" s="101" t="n">
        <v>4</v>
      </c>
      <c r="F118" s="101" t="n">
        <v>3</v>
      </c>
      <c r="G118" s="101" t="n">
        <v>5</v>
      </c>
    </row>
    <row r="119">
      <c r="D119" s="99" t="inlineStr">
        <is>
          <t xml:space="preserve">심화 중국어 </t>
        </is>
      </c>
      <c r="E119" s="101" t="n">
        <v>4</v>
      </c>
      <c r="F119" s="101" t="n">
        <v>3</v>
      </c>
      <c r="G119" s="101" t="n">
        <v>5</v>
      </c>
    </row>
    <row r="120">
      <c r="D120" s="100" t="inlineStr">
        <is>
          <t>심화 일본어</t>
        </is>
      </c>
      <c r="E120" s="101" t="n">
        <v>4</v>
      </c>
      <c r="F120" s="101" t="n">
        <v>3</v>
      </c>
      <c r="G120" s="101" t="n">
        <v>5</v>
      </c>
    </row>
    <row r="121">
      <c r="D121" s="99" t="inlineStr">
        <is>
          <t xml:space="preserve">심화 러시아어 </t>
        </is>
      </c>
      <c r="E121" s="101" t="n">
        <v>4</v>
      </c>
      <c r="F121" s="101" t="n">
        <v>3</v>
      </c>
      <c r="G121" s="101" t="n">
        <v>5</v>
      </c>
    </row>
    <row r="122">
      <c r="D122" s="100" t="inlineStr">
        <is>
          <t>심화 아랍어</t>
        </is>
      </c>
      <c r="E122" s="101" t="n">
        <v>4</v>
      </c>
      <c r="F122" s="101" t="n">
        <v>3</v>
      </c>
      <c r="G122" s="101" t="n">
        <v>5</v>
      </c>
    </row>
    <row r="123">
      <c r="D123" s="99" t="inlineStr">
        <is>
          <t>심화 베트남어</t>
        </is>
      </c>
      <c r="E123" s="101" t="n">
        <v>4</v>
      </c>
      <c r="F123" s="101" t="n">
        <v>3</v>
      </c>
      <c r="G123" s="101" t="n">
        <v>5</v>
      </c>
    </row>
    <row r="124">
      <c r="D124" s="99" t="inlineStr">
        <is>
          <t>한문 고전 읽기</t>
        </is>
      </c>
      <c r="E124" s="101" t="n">
        <v>4</v>
      </c>
      <c r="F124" s="101" t="n">
        <v>3</v>
      </c>
      <c r="G124" s="101" t="n">
        <v>5</v>
      </c>
    </row>
    <row r="125">
      <c r="D125" s="100" t="inlineStr">
        <is>
          <t>인간과 철학</t>
        </is>
      </c>
      <c r="E125" s="101" t="n">
        <v>3</v>
      </c>
      <c r="F125" s="101" t="n">
        <v>2</v>
      </c>
      <c r="G125" s="101" t="n">
        <v>4</v>
      </c>
    </row>
    <row r="126">
      <c r="D126" s="99" t="inlineStr">
        <is>
          <t xml:space="preserve">논리와 사고 </t>
        </is>
      </c>
      <c r="E126" s="101" t="n">
        <v>3</v>
      </c>
      <c r="F126" s="101" t="n">
        <v>2</v>
      </c>
      <c r="G126" s="101" t="n">
        <v>4</v>
      </c>
    </row>
    <row r="127">
      <c r="D127" s="100" t="inlineStr">
        <is>
          <t>인간과 심리</t>
        </is>
      </c>
      <c r="E127" s="101" t="n">
        <v>3</v>
      </c>
      <c r="F127" s="101" t="n">
        <v>2</v>
      </c>
      <c r="G127" s="101" t="n">
        <v>4</v>
      </c>
    </row>
    <row r="128">
      <c r="D128" s="99" t="inlineStr">
        <is>
          <t xml:space="preserve">교육의 이해 </t>
        </is>
      </c>
      <c r="E128" s="101" t="n">
        <v>3</v>
      </c>
      <c r="F128" s="101" t="n">
        <v>2</v>
      </c>
      <c r="G128" s="101" t="n">
        <v>4</v>
      </c>
    </row>
    <row r="129">
      <c r="D129" s="100" t="inlineStr">
        <is>
          <t>삶과 종교</t>
        </is>
      </c>
      <c r="E129" s="101" t="n">
        <v>3</v>
      </c>
      <c r="F129" s="101" t="n">
        <v>2</v>
      </c>
      <c r="G129" s="101" t="n">
        <v>4</v>
      </c>
    </row>
    <row r="130">
      <c r="D130" s="99" t="inlineStr">
        <is>
          <t>보건</t>
        </is>
      </c>
      <c r="E130" s="101" t="n">
        <v>3</v>
      </c>
      <c r="F130" s="101" t="n">
        <v>2</v>
      </c>
      <c r="G130" s="101" t="n">
        <v>4</v>
      </c>
    </row>
    <row r="131">
      <c r="D131" s="99" t="inlineStr">
        <is>
          <t>독서 토론과 글쓰기</t>
        </is>
      </c>
      <c r="E131" s="101" t="n">
        <v>4</v>
      </c>
      <c r="F131" s="101" t="n">
        <v>3</v>
      </c>
      <c r="G131" s="101" t="n">
        <v>5</v>
      </c>
    </row>
    <row r="132">
      <c r="D132" s="99" t="inlineStr">
        <is>
          <t xml:space="preserve">매체 의사소통 </t>
        </is>
      </c>
      <c r="E132" s="101" t="n">
        <v>4</v>
      </c>
      <c r="F132" s="101" t="n">
        <v>3</v>
      </c>
      <c r="G132" s="101" t="n">
        <v>5</v>
      </c>
    </row>
    <row r="133">
      <c r="D133" s="99" t="inlineStr">
        <is>
          <t>언어생활 탐구</t>
        </is>
      </c>
      <c r="E133" s="101" t="n">
        <v>4</v>
      </c>
      <c r="F133" s="101" t="n">
        <v>3</v>
      </c>
      <c r="G133" s="101" t="n">
        <v>5</v>
      </c>
    </row>
    <row r="134">
      <c r="D134" s="99" t="inlineStr">
        <is>
          <t xml:space="preserve">수학과 문화 </t>
        </is>
      </c>
      <c r="E134" s="101" t="n">
        <v>4</v>
      </c>
      <c r="F134" s="101" t="n">
        <v>3</v>
      </c>
      <c r="G134" s="101" t="n">
        <v>5</v>
      </c>
    </row>
    <row r="135">
      <c r="D135" s="99" t="inlineStr">
        <is>
          <t>실용 통계</t>
        </is>
      </c>
      <c r="E135" s="101" t="n">
        <v>4</v>
      </c>
      <c r="F135" s="101" t="n">
        <v>3</v>
      </c>
      <c r="G135" s="101" t="n">
        <v>5</v>
      </c>
    </row>
    <row r="136">
      <c r="D136" s="99" t="inlineStr">
        <is>
          <t>수학과제 탐구</t>
        </is>
      </c>
      <c r="E136" s="101" t="n">
        <v>4</v>
      </c>
      <c r="F136" s="101" t="n">
        <v>3</v>
      </c>
      <c r="G136" s="101" t="n">
        <v>5</v>
      </c>
    </row>
    <row r="137">
      <c r="D137" s="99" t="inlineStr">
        <is>
          <t xml:space="preserve">실생활 영어 회화 </t>
        </is>
      </c>
      <c r="E137" s="101" t="n">
        <v>4</v>
      </c>
      <c r="F137" s="101" t="n">
        <v>3</v>
      </c>
      <c r="G137" s="101" t="n">
        <v>5</v>
      </c>
    </row>
    <row r="138">
      <c r="D138" s="99" t="inlineStr">
        <is>
          <t xml:space="preserve">미디어 영어 </t>
        </is>
      </c>
      <c r="E138" s="101" t="n">
        <v>4</v>
      </c>
      <c r="F138" s="101" t="n">
        <v>3</v>
      </c>
      <c r="G138" s="101" t="n">
        <v>5</v>
      </c>
    </row>
    <row r="139">
      <c r="D139" s="99" t="inlineStr">
        <is>
          <t>세계 문화와 영어</t>
        </is>
      </c>
      <c r="E139" s="101" t="n">
        <v>4</v>
      </c>
      <c r="F139" s="101" t="n">
        <v>3</v>
      </c>
      <c r="G139" s="101" t="n">
        <v>5</v>
      </c>
    </row>
    <row r="140">
      <c r="D140" s="99" t="inlineStr">
        <is>
          <t>여행지리</t>
        </is>
      </c>
      <c r="E140" s="101" t="n">
        <v>4</v>
      </c>
      <c r="F140" s="101" t="n">
        <v>3</v>
      </c>
      <c r="G140" s="101" t="n">
        <v>5</v>
      </c>
    </row>
    <row r="141">
      <c r="D141" s="99" t="inlineStr">
        <is>
          <t>역사로 탐구하는 현대 세계</t>
        </is>
      </c>
      <c r="E141" s="101" t="n">
        <v>4</v>
      </c>
      <c r="F141" s="101" t="n">
        <v>3</v>
      </c>
      <c r="G141" s="101" t="n">
        <v>5</v>
      </c>
    </row>
    <row r="142">
      <c r="D142" s="99" t="inlineStr">
        <is>
          <t>사회문제 탐구</t>
        </is>
      </c>
      <c r="E142" s="101" t="n">
        <v>4</v>
      </c>
      <c r="F142" s="101" t="n">
        <v>3</v>
      </c>
      <c r="G142" s="101" t="n">
        <v>5</v>
      </c>
    </row>
    <row r="143">
      <c r="D143" s="99" t="inlineStr">
        <is>
          <t>금융과 경제생활</t>
        </is>
      </c>
      <c r="E143" s="101" t="n">
        <v>4</v>
      </c>
      <c r="F143" s="101" t="n">
        <v>3</v>
      </c>
      <c r="G143" s="101" t="n">
        <v>5</v>
      </c>
    </row>
    <row r="144">
      <c r="D144" s="99" t="inlineStr">
        <is>
          <t>윤리문제 탐구</t>
        </is>
      </c>
      <c r="E144" s="101" t="n">
        <v>4</v>
      </c>
      <c r="F144" s="101" t="n">
        <v>3</v>
      </c>
      <c r="G144" s="101" t="n">
        <v>5</v>
      </c>
    </row>
    <row r="145">
      <c r="D145" s="99" t="inlineStr">
        <is>
          <t>기후변화와 지속가능한 세계</t>
        </is>
      </c>
      <c r="E145" s="101" t="n">
        <v>4</v>
      </c>
      <c r="F145" s="101" t="n">
        <v>3</v>
      </c>
      <c r="G145" s="101" t="n">
        <v>5</v>
      </c>
    </row>
    <row r="146">
      <c r="D146" s="99" t="inlineStr">
        <is>
          <t>과학의 역사와 문화</t>
        </is>
      </c>
      <c r="E146" s="101" t="n">
        <v>4</v>
      </c>
      <c r="F146" s="101" t="n">
        <v>3</v>
      </c>
      <c r="G146" s="101" t="n">
        <v>5</v>
      </c>
    </row>
    <row r="147">
      <c r="D147" s="99" t="inlineStr">
        <is>
          <t>기후변화와 환경생태</t>
        </is>
      </c>
      <c r="E147" s="101" t="n">
        <v>4</v>
      </c>
      <c r="F147" s="101" t="n">
        <v>3</v>
      </c>
      <c r="G147" s="101" t="n">
        <v>5</v>
      </c>
    </row>
    <row r="148">
      <c r="D148" s="99" t="inlineStr">
        <is>
          <t>융합과학 탐구</t>
        </is>
      </c>
      <c r="E148" s="101" t="n">
        <v>4</v>
      </c>
      <c r="F148" s="101" t="n">
        <v>3</v>
      </c>
      <c r="G148" s="101" t="n">
        <v>5</v>
      </c>
    </row>
    <row r="149">
      <c r="D149" s="99" t="inlineStr">
        <is>
          <t xml:space="preserve">스포츠 생활1 </t>
        </is>
      </c>
      <c r="E149" s="101" t="n">
        <v>3</v>
      </c>
      <c r="F149" s="101" t="n">
        <v>2</v>
      </c>
      <c r="G149" s="101" t="n">
        <v>4</v>
      </c>
    </row>
    <row r="150">
      <c r="D150" s="99" t="inlineStr">
        <is>
          <t xml:space="preserve">스포츠 생활2 </t>
        </is>
      </c>
      <c r="E150" s="101" t="n">
        <v>3</v>
      </c>
      <c r="F150" s="101" t="n">
        <v>2</v>
      </c>
      <c r="G150" s="101" t="n">
        <v>4</v>
      </c>
    </row>
    <row r="151">
      <c r="D151" s="99" t="inlineStr">
        <is>
          <t>음악과 미디어</t>
        </is>
      </c>
      <c r="E151" s="101" t="n">
        <v>3</v>
      </c>
      <c r="F151" s="101" t="n">
        <v>2</v>
      </c>
      <c r="G151" s="101" t="n">
        <v>4</v>
      </c>
    </row>
    <row r="152">
      <c r="D152" s="99" t="inlineStr">
        <is>
          <t>미술과 매체</t>
        </is>
      </c>
      <c r="E152" s="101" t="n">
        <v>3</v>
      </c>
      <c r="F152" s="101" t="n">
        <v>2</v>
      </c>
      <c r="G152" s="101" t="n">
        <v>4</v>
      </c>
    </row>
    <row r="153">
      <c r="D153" s="99" t="inlineStr">
        <is>
          <t>창의 공학 설계</t>
        </is>
      </c>
      <c r="E153" s="101" t="n">
        <v>4</v>
      </c>
      <c r="F153" s="101" t="n">
        <v>3</v>
      </c>
      <c r="G153" s="101" t="n">
        <v>5</v>
      </c>
    </row>
    <row r="154">
      <c r="D154" s="99" t="inlineStr">
        <is>
          <t>지식 재산 일반</t>
        </is>
      </c>
      <c r="E154" s="101" t="n">
        <v>4</v>
      </c>
      <c r="F154" s="101" t="n">
        <v>3</v>
      </c>
      <c r="G154" s="101" t="n">
        <v>5</v>
      </c>
    </row>
    <row r="155">
      <c r="D155" s="99" t="inlineStr">
        <is>
          <t xml:space="preserve">생애 설계와 자립 </t>
        </is>
      </c>
      <c r="E155" s="102" t="n">
        <v>2</v>
      </c>
      <c r="F155" s="102" t="n">
        <v>1</v>
      </c>
      <c r="G155" s="102" t="n">
        <v>2</v>
      </c>
    </row>
    <row r="156">
      <c r="D156" s="99" t="inlineStr">
        <is>
          <t>아동발달과 부모</t>
        </is>
      </c>
      <c r="E156" s="101" t="n">
        <v>4</v>
      </c>
      <c r="F156" s="101" t="n">
        <v>3</v>
      </c>
      <c r="G156" s="101" t="n">
        <v>5</v>
      </c>
    </row>
    <row r="157">
      <c r="D157" s="99" t="inlineStr">
        <is>
          <t>소프트웨어와 생활</t>
        </is>
      </c>
      <c r="E157" s="101" t="n">
        <v>4</v>
      </c>
      <c r="F157" s="101" t="n">
        <v>3</v>
      </c>
      <c r="G157" s="101" t="n">
        <v>5</v>
      </c>
    </row>
    <row r="158">
      <c r="D158" s="99" t="inlineStr">
        <is>
          <t>독일어권 문화</t>
        </is>
      </c>
      <c r="E158" s="101" t="n">
        <v>4</v>
      </c>
      <c r="F158" s="101" t="n">
        <v>3</v>
      </c>
      <c r="G158" s="101" t="n">
        <v>5</v>
      </c>
    </row>
    <row r="159">
      <c r="D159" s="99" t="inlineStr">
        <is>
          <t>프랑스어권 문화</t>
        </is>
      </c>
      <c r="E159" s="101" t="n">
        <v>4</v>
      </c>
      <c r="F159" s="101" t="n">
        <v>3</v>
      </c>
      <c r="G159" s="101" t="n">
        <v>5</v>
      </c>
    </row>
    <row r="160">
      <c r="D160" s="99" t="inlineStr">
        <is>
          <t>스페인어권 문화</t>
        </is>
      </c>
      <c r="E160" s="101" t="n">
        <v>4</v>
      </c>
      <c r="F160" s="101" t="n">
        <v>3</v>
      </c>
      <c r="G160" s="101" t="n">
        <v>5</v>
      </c>
    </row>
    <row r="161">
      <c r="D161" s="99" t="inlineStr">
        <is>
          <t xml:space="preserve">중국 문화 </t>
        </is>
      </c>
      <c r="E161" s="101" t="n">
        <v>4</v>
      </c>
      <c r="F161" s="101" t="n">
        <v>3</v>
      </c>
      <c r="G161" s="101" t="n">
        <v>5</v>
      </c>
    </row>
    <row r="162">
      <c r="D162" s="99" t="inlineStr">
        <is>
          <t>일본 문화</t>
        </is>
      </c>
      <c r="E162" s="101" t="n">
        <v>4</v>
      </c>
      <c r="F162" s="101" t="n">
        <v>3</v>
      </c>
      <c r="G162" s="101" t="n">
        <v>5</v>
      </c>
    </row>
    <row r="163">
      <c r="D163" s="99" t="inlineStr">
        <is>
          <t xml:space="preserve">러시아 문화 </t>
        </is>
      </c>
      <c r="E163" s="101" t="n">
        <v>4</v>
      </c>
      <c r="F163" s="101" t="n">
        <v>3</v>
      </c>
      <c r="G163" s="101" t="n">
        <v>5</v>
      </c>
    </row>
    <row r="164">
      <c r="D164" s="99" t="inlineStr">
        <is>
          <t>아랍 문화</t>
        </is>
      </c>
      <c r="E164" s="101" t="n">
        <v>4</v>
      </c>
      <c r="F164" s="101" t="n">
        <v>3</v>
      </c>
      <c r="G164" s="101" t="n">
        <v>5</v>
      </c>
    </row>
    <row r="165">
      <c r="D165" s="99" t="inlineStr">
        <is>
          <t>베트남 문화</t>
        </is>
      </c>
      <c r="E165" s="101" t="n">
        <v>4</v>
      </c>
      <c r="F165" s="101" t="n">
        <v>3</v>
      </c>
      <c r="G165" s="101" t="n">
        <v>5</v>
      </c>
    </row>
    <row r="166">
      <c r="D166" s="99" t="inlineStr">
        <is>
          <t>언어생활과 한자</t>
        </is>
      </c>
      <c r="E166" s="101" t="n">
        <v>4</v>
      </c>
      <c r="F166" s="101" t="n">
        <v>3</v>
      </c>
      <c r="G166" s="101" t="n">
        <v>5</v>
      </c>
    </row>
    <row r="167">
      <c r="D167" s="99" t="inlineStr">
        <is>
          <t xml:space="preserve">인간과 경제활동 </t>
        </is>
      </c>
      <c r="E167" s="101" t="n">
        <v>3</v>
      </c>
      <c r="F167" s="101" t="n">
        <v>2</v>
      </c>
      <c r="G167" s="101" t="n">
        <v>4</v>
      </c>
    </row>
    <row r="168">
      <c r="D168" s="99" t="inlineStr">
        <is>
          <t>논술</t>
        </is>
      </c>
      <c r="E168" s="101" t="n">
        <v>3</v>
      </c>
      <c r="F168" s="101" t="n">
        <v>2</v>
      </c>
      <c r="G168" s="101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2026-08-12T15:49:32Z</dcterms:modified>
  <cp:lastModifiedBy>lee YG</cp:lastModifiedBy>
  <cp:lastPrinted>2025-09-05T01:00:16Z</cp:lastPrinted>
</cp:coreProperties>
</file>