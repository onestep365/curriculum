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과학중점고_교육과정_2026입학생\"/>
    </mc:Choice>
  </mc:AlternateContent>
  <xr:revisionPtr revIDLastSave="0" documentId="13_ncr:1_{25562F3C-9CBB-4659-BD9A-CEC520B87823}" xr6:coauthVersionLast="47" xr6:coauthVersionMax="47" xr10:uidLastSave="{00000000-0000-0000-0000-000000000000}"/>
  <bookViews>
    <workbookView xWindow="30612" yWindow="-108" windowWidth="23256" windowHeight="12456" xr2:uid="{F2E4C093-320D-4F33-95C1-F1B55104DA78}"/>
  </bookViews>
  <sheets>
    <sheet name="2025학년도 배당표" sheetId="6" r:id="rId1"/>
    <sheet name="배당표 작성 요령" sheetId="5" r:id="rId2"/>
    <sheet name="과목" sheetId="3" state="hidden" r:id="rId3"/>
  </sheets>
  <externalReferences>
    <externalReference r:id="rId4"/>
  </externalReferences>
  <definedNames>
    <definedName name="_xlnm.Print_Area" localSheetId="0">'2025학년도 배당표'!$A$1:$N$115</definedName>
    <definedName name="공통" localSheetId="0">표7[공통]</definedName>
    <definedName name="공통">표7[공통]</definedName>
    <definedName name="과목유형" localSheetId="0">표1[과목유형]</definedName>
    <definedName name="과목유형">표1[과목유형]</definedName>
    <definedName name="과목유형2">[1]데이터베이스!$D$3:$D$5</definedName>
    <definedName name="기본학점">[1]데이터베이스!$D$13:$E$168</definedName>
    <definedName name="비고" localSheetId="0">표10[비고]</definedName>
    <definedName name="비고">표10[비고]</definedName>
    <definedName name="일반" localSheetId="0">표8[일반]</definedName>
    <definedName name="일반">표8[일반]</definedName>
    <definedName name="진로" localSheetId="0">표9[진로]</definedName>
    <definedName name="진로">표9[진로]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6" l="1"/>
  <c r="F81" i="6"/>
  <c r="F80" i="6"/>
  <c r="F79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I110" i="6" l="1"/>
  <c r="H110" i="6"/>
  <c r="H112" i="6" l="1"/>
  <c r="K110" i="6"/>
  <c r="J110" i="6"/>
  <c r="J112" i="6" l="1"/>
</calcChain>
</file>

<file path=xl/sharedStrings.xml><?xml version="1.0" encoding="utf-8"?>
<sst xmlns="http://schemas.openxmlformats.org/spreadsheetml/2006/main" count="407" uniqueCount="261">
  <si>
    <t>학년별 총 이수 학점</t>
    <phoneticPr fontId="1" type="noConversion"/>
  </si>
  <si>
    <t>학기별 총 이수 학점</t>
    <phoneticPr fontId="1" type="noConversion"/>
  </si>
  <si>
    <t>창의적 체험활동</t>
    <phoneticPr fontId="1" type="noConversion"/>
  </si>
  <si>
    <t>과 학</t>
    <phoneticPr fontId="1" type="noConversion"/>
  </si>
  <si>
    <t>탐구</t>
    <phoneticPr fontId="1" type="noConversion"/>
  </si>
  <si>
    <t>영 어</t>
    <phoneticPr fontId="1" type="noConversion"/>
  </si>
  <si>
    <t>수 학</t>
    <phoneticPr fontId="1" type="noConversion"/>
  </si>
  <si>
    <t>국 어</t>
    <phoneticPr fontId="1" type="noConversion"/>
  </si>
  <si>
    <t>기초</t>
    <phoneticPr fontId="1" type="noConversion"/>
  </si>
  <si>
    <t xml:space="preserve">3
학년선택 </t>
    <phoneticPr fontId="1" type="noConversion"/>
  </si>
  <si>
    <t>제2외국어/한문</t>
    <phoneticPr fontId="1" type="noConversion"/>
  </si>
  <si>
    <t>기 초</t>
    <phoneticPr fontId="1" type="noConversion"/>
  </si>
  <si>
    <t xml:space="preserve">2
학년선택 </t>
    <phoneticPr fontId="1" type="noConversion"/>
  </si>
  <si>
    <t>예 술</t>
    <phoneticPr fontId="1" type="noConversion"/>
  </si>
  <si>
    <t>체 육</t>
    <phoneticPr fontId="1" type="noConversion"/>
  </si>
  <si>
    <t>체육·
예술</t>
    <phoneticPr fontId="1" type="noConversion"/>
  </si>
  <si>
    <t>공통</t>
  </si>
  <si>
    <t>통합사회</t>
  </si>
  <si>
    <t>한국사</t>
    <phoneticPr fontId="1" type="noConversion"/>
  </si>
  <si>
    <t>학교지정</t>
    <phoneticPr fontId="1" type="noConversion"/>
  </si>
  <si>
    <t>2학기</t>
    <phoneticPr fontId="1" type="noConversion"/>
  </si>
  <si>
    <t>1학기</t>
    <phoneticPr fontId="1" type="noConversion"/>
  </si>
  <si>
    <t>비고</t>
    <phoneticPr fontId="1" type="noConversion"/>
  </si>
  <si>
    <t>운영
학점</t>
    <phoneticPr fontId="1" type="noConversion"/>
  </si>
  <si>
    <t>기준
학점</t>
    <phoneticPr fontId="1" type="noConversion"/>
  </si>
  <si>
    <t>과목유형</t>
    <phoneticPr fontId="1" type="noConversion"/>
  </si>
  <si>
    <t>교과(군)</t>
    <phoneticPr fontId="1" type="noConversion"/>
  </si>
  <si>
    <t>교과
영역</t>
    <phoneticPr fontId="1" type="noConversion"/>
  </si>
  <si>
    <t>구분</t>
    <phoneticPr fontId="1" type="noConversion"/>
  </si>
  <si>
    <t>공통</t>
    <phoneticPr fontId="1" type="noConversion"/>
  </si>
  <si>
    <t>일반</t>
    <phoneticPr fontId="1" type="noConversion"/>
  </si>
  <si>
    <t>진로</t>
    <phoneticPr fontId="1" type="noConversion"/>
  </si>
  <si>
    <t>국어</t>
    <phoneticPr fontId="1" type="noConversion"/>
  </si>
  <si>
    <t>화법과 작문</t>
    <phoneticPr fontId="1" type="noConversion"/>
  </si>
  <si>
    <t>실용 국어</t>
    <phoneticPr fontId="1" type="noConversion"/>
  </si>
  <si>
    <r>
      <t>전문</t>
    </r>
    <r>
      <rPr>
        <sz val="11"/>
        <rFont val="맑은 고딕"/>
        <family val="3"/>
        <charset val="129"/>
      </rPr>
      <t>Ⅰ</t>
    </r>
    <phoneticPr fontId="1" type="noConversion"/>
  </si>
  <si>
    <t>수학</t>
    <phoneticPr fontId="1" type="noConversion"/>
  </si>
  <si>
    <t>독서</t>
  </si>
  <si>
    <t>심화 국어</t>
    <phoneticPr fontId="1" type="noConversion"/>
  </si>
  <si>
    <t>전문Ⅱ</t>
    <phoneticPr fontId="1" type="noConversion"/>
  </si>
  <si>
    <t>영어</t>
    <phoneticPr fontId="1" type="noConversion"/>
  </si>
  <si>
    <t>언어와 매체</t>
    <phoneticPr fontId="1" type="noConversion"/>
  </si>
  <si>
    <t>고전 읽기</t>
    <phoneticPr fontId="1" type="noConversion"/>
  </si>
  <si>
    <t>공동</t>
    <phoneticPr fontId="1" type="noConversion"/>
  </si>
  <si>
    <t>문학</t>
    <phoneticPr fontId="1" type="noConversion"/>
  </si>
  <si>
    <t>기본 수학</t>
    <phoneticPr fontId="1" type="noConversion"/>
  </si>
  <si>
    <t>학교 밖</t>
    <phoneticPr fontId="1" type="noConversion"/>
  </si>
  <si>
    <t>수학Ⅰ</t>
    <phoneticPr fontId="1" type="noConversion"/>
  </si>
  <si>
    <t>실용 수학</t>
    <phoneticPr fontId="1" type="noConversion"/>
  </si>
  <si>
    <t>통합과학</t>
    <phoneticPr fontId="1" type="noConversion"/>
  </si>
  <si>
    <t>수학Ⅱ</t>
    <phoneticPr fontId="1" type="noConversion"/>
  </si>
  <si>
    <t>인공지능 수학</t>
    <phoneticPr fontId="1" type="noConversion"/>
  </si>
  <si>
    <t>과학탐구실험</t>
  </si>
  <si>
    <t>미적분</t>
    <phoneticPr fontId="1" type="noConversion"/>
  </si>
  <si>
    <t>기하</t>
    <phoneticPr fontId="1" type="noConversion"/>
  </si>
  <si>
    <t>확률과 통계</t>
    <phoneticPr fontId="1" type="noConversion"/>
  </si>
  <si>
    <t>경제 수학</t>
    <phoneticPr fontId="1" type="noConversion"/>
  </si>
  <si>
    <t>영어 회화</t>
    <phoneticPr fontId="1" type="noConversion"/>
  </si>
  <si>
    <t>수학과제 탐구</t>
    <phoneticPr fontId="1" type="noConversion"/>
  </si>
  <si>
    <t>영어Ⅰ</t>
    <phoneticPr fontId="1" type="noConversion"/>
  </si>
  <si>
    <t>기본 영어</t>
    <phoneticPr fontId="1" type="noConversion"/>
  </si>
  <si>
    <t xml:space="preserve">영어Ⅱ </t>
    <phoneticPr fontId="1" type="noConversion"/>
  </si>
  <si>
    <t>실용 영어</t>
    <phoneticPr fontId="1" type="noConversion"/>
  </si>
  <si>
    <t>영어 독해와 작문</t>
    <phoneticPr fontId="1" type="noConversion"/>
  </si>
  <si>
    <t>영어권 문화</t>
    <phoneticPr fontId="1" type="noConversion"/>
  </si>
  <si>
    <t>한국지리</t>
    <phoneticPr fontId="1" type="noConversion"/>
  </si>
  <si>
    <t>진로 영어</t>
    <phoneticPr fontId="1" type="noConversion"/>
  </si>
  <si>
    <t>세계지리</t>
    <phoneticPr fontId="1" type="noConversion"/>
  </si>
  <si>
    <t>영미 문학 읽기</t>
    <phoneticPr fontId="1" type="noConversion"/>
  </si>
  <si>
    <t>세계사</t>
    <phoneticPr fontId="1" type="noConversion"/>
  </si>
  <si>
    <t>여행지리</t>
    <phoneticPr fontId="1" type="noConversion"/>
  </si>
  <si>
    <t>동아시아사</t>
    <phoneticPr fontId="1" type="noConversion"/>
  </si>
  <si>
    <t>사회문제 탐구</t>
    <phoneticPr fontId="1" type="noConversion"/>
  </si>
  <si>
    <t>경제</t>
    <phoneticPr fontId="1" type="noConversion"/>
  </si>
  <si>
    <t>고전과 윤리</t>
  </si>
  <si>
    <t>정치와 법</t>
    <phoneticPr fontId="1" type="noConversion"/>
  </si>
  <si>
    <t xml:space="preserve">물리학Ⅱ </t>
    <phoneticPr fontId="1" type="noConversion"/>
  </si>
  <si>
    <r>
      <t>사회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문화</t>
    </r>
    <phoneticPr fontId="1" type="noConversion"/>
  </si>
  <si>
    <t>화학Ⅱ</t>
    <phoneticPr fontId="1" type="noConversion"/>
  </si>
  <si>
    <t>생활과 윤리</t>
    <phoneticPr fontId="1" type="noConversion"/>
  </si>
  <si>
    <t>생명과학Ⅱ</t>
    <phoneticPr fontId="1" type="noConversion"/>
  </si>
  <si>
    <t>윤리와 사상</t>
    <phoneticPr fontId="1" type="noConversion"/>
  </si>
  <si>
    <t>지구과학Ⅱ</t>
    <phoneticPr fontId="1" type="noConversion"/>
  </si>
  <si>
    <t>물리학Ⅰ</t>
    <phoneticPr fontId="1" type="noConversion"/>
  </si>
  <si>
    <t>과학사</t>
    <phoneticPr fontId="1" type="noConversion"/>
  </si>
  <si>
    <t>화학Ⅰ</t>
    <phoneticPr fontId="1" type="noConversion"/>
  </si>
  <si>
    <t>생활과 과학</t>
    <phoneticPr fontId="1" type="noConversion"/>
  </si>
  <si>
    <t>생명과학Ⅰ</t>
    <phoneticPr fontId="1" type="noConversion"/>
  </si>
  <si>
    <t>융합과학</t>
    <phoneticPr fontId="1" type="noConversion"/>
  </si>
  <si>
    <t>지구과학Ⅰ</t>
    <phoneticPr fontId="1" type="noConversion"/>
  </si>
  <si>
    <t>스포츠 생활</t>
  </si>
  <si>
    <t>체육</t>
    <phoneticPr fontId="1" type="noConversion"/>
  </si>
  <si>
    <t>체육 탐구</t>
    <phoneticPr fontId="1" type="noConversion"/>
  </si>
  <si>
    <t>운동과 건강</t>
    <phoneticPr fontId="1" type="noConversion"/>
  </si>
  <si>
    <t>음악 연주</t>
  </si>
  <si>
    <t>음악</t>
    <phoneticPr fontId="1" type="noConversion"/>
  </si>
  <si>
    <t>음악 감상과 비평</t>
    <phoneticPr fontId="1" type="noConversion"/>
  </si>
  <si>
    <t>미술</t>
    <phoneticPr fontId="1" type="noConversion"/>
  </si>
  <si>
    <t>미술 창작</t>
    <phoneticPr fontId="1" type="noConversion"/>
  </si>
  <si>
    <t>연극</t>
    <phoneticPr fontId="1" type="noConversion"/>
  </si>
  <si>
    <t>미술 감상과 비평</t>
    <phoneticPr fontId="1" type="noConversion"/>
  </si>
  <si>
    <r>
      <t>기술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가정</t>
    </r>
    <phoneticPr fontId="1" type="noConversion"/>
  </si>
  <si>
    <t xml:space="preserve">농업 생명 과학 </t>
    <phoneticPr fontId="1" type="noConversion"/>
  </si>
  <si>
    <t>정보</t>
    <phoneticPr fontId="1" type="noConversion"/>
  </si>
  <si>
    <t>공학 일반</t>
    <phoneticPr fontId="1" type="noConversion"/>
  </si>
  <si>
    <t>독일어Ⅰ</t>
  </si>
  <si>
    <t xml:space="preserve">창의 경영 </t>
    <phoneticPr fontId="1" type="noConversion"/>
  </si>
  <si>
    <t>일본어Ⅰ</t>
  </si>
  <si>
    <t>해양 문화와 기술</t>
    <phoneticPr fontId="1" type="noConversion"/>
  </si>
  <si>
    <t>프랑스어Ⅰ</t>
  </si>
  <si>
    <t>가정과학</t>
    <phoneticPr fontId="1" type="noConversion"/>
  </si>
  <si>
    <t>러시아어Ⅰ</t>
  </si>
  <si>
    <t>지식 재산 일반</t>
  </si>
  <si>
    <t>스페인어Ⅰ</t>
  </si>
  <si>
    <t>인공지능 기초</t>
  </si>
  <si>
    <t>아랍어Ⅰ</t>
  </si>
  <si>
    <t>독일어Ⅱ</t>
  </si>
  <si>
    <t>중국어Ⅰ</t>
  </si>
  <si>
    <t>일본어Ⅱ</t>
  </si>
  <si>
    <t>베트남어Ⅰ</t>
  </si>
  <si>
    <t>프랑스어Ⅱ</t>
  </si>
  <si>
    <t>한문Ⅰ</t>
  </si>
  <si>
    <t>러시아어Ⅱ</t>
  </si>
  <si>
    <t>철학</t>
    <phoneticPr fontId="1" type="noConversion"/>
  </si>
  <si>
    <t>스페인어Ⅱ</t>
  </si>
  <si>
    <t>논리학</t>
    <phoneticPr fontId="1" type="noConversion"/>
  </si>
  <si>
    <t>아랍어Ⅱ</t>
  </si>
  <si>
    <t>심리학</t>
    <phoneticPr fontId="1" type="noConversion"/>
  </si>
  <si>
    <t>중국어Ⅱ</t>
  </si>
  <si>
    <t>교육학</t>
    <phoneticPr fontId="1" type="noConversion"/>
  </si>
  <si>
    <t>베트남어Ⅱ</t>
  </si>
  <si>
    <t>종교학</t>
    <phoneticPr fontId="1" type="noConversion"/>
  </si>
  <si>
    <t>한문Ⅱ</t>
  </si>
  <si>
    <t>진로와 직업</t>
    <phoneticPr fontId="1" type="noConversion"/>
  </si>
  <si>
    <t>보건</t>
    <phoneticPr fontId="1" type="noConversion"/>
  </si>
  <si>
    <t>환경</t>
    <phoneticPr fontId="1" type="noConversion"/>
  </si>
  <si>
    <t>실용 경제</t>
    <phoneticPr fontId="1" type="noConversion"/>
  </si>
  <si>
    <t>논술</t>
  </si>
  <si>
    <t>생활·
교양</t>
    <phoneticPr fontId="1" type="noConversion"/>
  </si>
  <si>
    <t>생활
∙
교양</t>
    <phoneticPr fontId="1" type="noConversion"/>
  </si>
  <si>
    <t>사 회
(역사/도덕 포함)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</si>
  <si>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</si>
  <si>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</si>
  <si>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</si>
  <si>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대진고등학교 교육과정 학점 배당표</t>
    <phoneticPr fontId="1" type="noConversion"/>
  </si>
  <si>
    <t>일반</t>
  </si>
  <si>
    <t>문학</t>
  </si>
  <si>
    <t>체육</t>
  </si>
  <si>
    <t>운동과 건강</t>
  </si>
  <si>
    <t>진로</t>
  </si>
  <si>
    <t>음악</t>
  </si>
  <si>
    <t>미술</t>
  </si>
  <si>
    <t>음악 감상과 비평</t>
  </si>
  <si>
    <t>미술 감상과 비평</t>
  </si>
  <si>
    <t>기술·가정</t>
  </si>
  <si>
    <t>교양</t>
    <phoneticPr fontId="1" type="noConversion"/>
  </si>
  <si>
    <t xml:space="preserve">프로그래밍 </t>
  </si>
  <si>
    <t>전문Ⅱ</t>
  </si>
  <si>
    <t>진로와 직업</t>
  </si>
  <si>
    <t>환경</t>
  </si>
  <si>
    <t>기하</t>
  </si>
  <si>
    <t>세계사</t>
  </si>
  <si>
    <t>경제</t>
  </si>
  <si>
    <t>언어와 매체</t>
  </si>
  <si>
    <t>심화 국어</t>
  </si>
  <si>
    <t>영어 회화</t>
  </si>
  <si>
    <t>심화 영어Ⅰ</t>
  </si>
  <si>
    <t>한국지리</t>
  </si>
  <si>
    <t>동아시아사</t>
  </si>
  <si>
    <t>정치와 법</t>
  </si>
  <si>
    <t>사회·문화</t>
  </si>
  <si>
    <t>생활과 윤리</t>
  </si>
  <si>
    <t>여행지리</t>
  </si>
  <si>
    <t>사회 탐구 방법</t>
  </si>
  <si>
    <t>물리학Ⅱ</t>
  </si>
  <si>
    <t>화학Ⅱ</t>
  </si>
  <si>
    <t>생명과학Ⅱ</t>
  </si>
  <si>
    <t>지구과학Ⅱ</t>
  </si>
  <si>
    <t>융합과학</t>
  </si>
  <si>
    <t>체육과 진로 탐구</t>
  </si>
  <si>
    <t>예술</t>
  </si>
  <si>
    <t>전문Ⅰ</t>
  </si>
  <si>
    <t>세부 교과목</t>
    <phoneticPr fontId="1" type="noConversion"/>
  </si>
  <si>
    <r>
      <rPr>
        <b/>
        <sz val="10"/>
        <rFont val="맑은 고딕"/>
        <family val="3"/>
        <charset val="129"/>
      </rPr>
      <t>※</t>
    </r>
    <r>
      <rPr>
        <b/>
        <sz val="10"/>
        <rFont val="돋움"/>
        <family val="3"/>
        <charset val="129"/>
      </rPr>
      <t xml:space="preserve"> 유의사항
- 2023학년도 입학생 교육과정 학점 배당표(일반과정)
- 1학년 음악, 미술은 집중 이수</t>
    </r>
    <phoneticPr fontId="1" type="noConversion"/>
  </si>
  <si>
    <t>3학년(과중)</t>
    <phoneticPr fontId="1" type="noConversion"/>
  </si>
  <si>
    <t>미적분</t>
    <phoneticPr fontId="1" type="noConversion"/>
  </si>
  <si>
    <t>화법과작문</t>
    <phoneticPr fontId="1" type="noConversion"/>
  </si>
  <si>
    <t>수학</t>
    <phoneticPr fontId="1" type="noConversion"/>
  </si>
  <si>
    <t>체육 탐구</t>
  </si>
  <si>
    <t>정보</t>
  </si>
  <si>
    <t>기술·가정</t>
    <phoneticPr fontId="1" type="noConversion"/>
  </si>
  <si>
    <t>공통국어1</t>
    <phoneticPr fontId="1" type="noConversion"/>
  </si>
  <si>
    <t>공통국어2</t>
  </si>
  <si>
    <t>공통수학1</t>
  </si>
  <si>
    <t>공통수학2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</si>
  <si>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</si>
  <si>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</si>
  <si>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</si>
  <si>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</si>
  <si>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</si>
  <si>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</si>
  <si>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</si>
  <si>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</si>
  <si>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</si>
  <si>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</si>
  <si>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</si>
  <si>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</si>
  <si>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소프트웨어와 생활</t>
    <phoneticPr fontId="1" type="noConversion"/>
  </si>
  <si>
    <t>독서</t>
    <phoneticPr fontId="1" type="noConversion"/>
  </si>
  <si>
    <t>융합</t>
  </si>
  <si>
    <t xml:space="preserve">영어Ⅱ </t>
  </si>
  <si>
    <t>2학년(일반,과중)</t>
    <phoneticPr fontId="1" type="noConversion"/>
  </si>
  <si>
    <t>심리학</t>
  </si>
  <si>
    <t>전문Ⅰ</t>
    <phoneticPr fontId="1" type="noConversion"/>
  </si>
  <si>
    <t>심화 수학Ⅰ</t>
    <phoneticPr fontId="1" type="noConversion"/>
  </si>
  <si>
    <t>3
(택1)</t>
    <phoneticPr fontId="1" type="noConversion"/>
  </si>
  <si>
    <t>9
(택3)</t>
    <phoneticPr fontId="1" type="noConversion"/>
  </si>
  <si>
    <t>화법과 언어</t>
    <phoneticPr fontId="1" type="noConversion"/>
  </si>
  <si>
    <t>대수</t>
    <phoneticPr fontId="1" type="noConversion"/>
  </si>
  <si>
    <t>미적분Ⅰ</t>
    <phoneticPr fontId="1" type="noConversion"/>
  </si>
  <si>
    <t>영어Ⅰ</t>
  </si>
  <si>
    <t>스포츠 생활1</t>
    <phoneticPr fontId="1" type="noConversion"/>
  </si>
  <si>
    <t>[2]</t>
  </si>
  <si>
    <t>문학과 영상</t>
  </si>
  <si>
    <t>인공지능 수학</t>
  </si>
  <si>
    <t>세계 문화와 영어</t>
  </si>
  <si>
    <t>세계시민과 지리</t>
  </si>
  <si>
    <t>사회와 문화</t>
  </si>
  <si>
    <t>동아시아 역사 기행</t>
  </si>
  <si>
    <t>인문학과 윤리</t>
  </si>
  <si>
    <t>물리학</t>
  </si>
  <si>
    <t>화학</t>
  </si>
  <si>
    <t xml:space="preserve">생명과학 </t>
  </si>
  <si>
    <t>지구과학</t>
  </si>
  <si>
    <t xml:space="preserve">인공지능 기초 </t>
  </si>
  <si>
    <t>중국어</t>
  </si>
  <si>
    <t xml:space="preserve">일본어 </t>
  </si>
  <si>
    <t>한문</t>
  </si>
  <si>
    <t>독서 토론과 글쓰기</t>
  </si>
  <si>
    <t>미적분Ⅱ</t>
  </si>
  <si>
    <t xml:space="preserve">심화 영어 </t>
  </si>
  <si>
    <t>현대사회와 윤리</t>
  </si>
  <si>
    <t>한국지리 탐구</t>
  </si>
  <si>
    <t xml:space="preserve">역학과 에너지 </t>
  </si>
  <si>
    <t>화학 반응의 세계</t>
  </si>
  <si>
    <t xml:space="preserve">세포와 물질대사 </t>
  </si>
  <si>
    <t xml:space="preserve">지구시스템과학 </t>
  </si>
  <si>
    <t>고급 물리학</t>
  </si>
  <si>
    <t>데이터 과학</t>
  </si>
  <si>
    <t xml:space="preserve">중국 문화 </t>
  </si>
  <si>
    <t>일본 문화</t>
  </si>
  <si>
    <t>언어생활과 한자</t>
  </si>
  <si>
    <t>12
(택4)</t>
    <phoneticPr fontId="1" type="noConversion"/>
  </si>
  <si>
    <t>특목고 선택 과목</t>
    <phoneticPr fontId="1" type="noConversion"/>
  </si>
  <si>
    <t>과학</t>
    <phoneticPr fontId="1" type="noConversion"/>
  </si>
  <si>
    <t>기술∙가정/정보</t>
    <phoneticPr fontId="1" type="noConversion"/>
  </si>
  <si>
    <t>수 학</t>
  </si>
  <si>
    <t>[2]</t>
    <phoneticPr fontId="1" type="noConversion"/>
  </si>
  <si>
    <t>1학년(일반,과중)</t>
    <phoneticPr fontId="1" type="noConversion"/>
  </si>
  <si>
    <t>체육
·
예술</t>
    <phoneticPr fontId="1" type="noConversion"/>
  </si>
  <si>
    <t>2026학년도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</si>
</sst>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8"/>
      <scheme val="minor"/>
    </font>
    <font>
      <sz val="10"/>
      <color theme="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9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49" fontId="3" fillId="0" borderId="11" xfId="0" applyNumberFormat="1" applyFont="1" applyBorder="1" applyAlignment="1">
      <alignment horizontal="center"/>
    </xf>
    <xf numFmtId="49" fontId="3" fillId="0" borderId="31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/>
    </xf>
    <xf numFmtId="49" fontId="0" fillId="0" borderId="0" xfId="0" applyNumberFormat="1"/>
    <xf numFmtId="0" fontId="15" fillId="2" borderId="29" xfId="0" applyFont="1" applyFill="1" applyBorder="1" applyAlignment="1" applyProtection="1">
      <alignment horizontal="center" vertical="center" shrinkToFit="1"/>
      <protection locked="0"/>
    </xf>
    <xf numFmtId="0" fontId="11" fillId="2" borderId="16" xfId="0" applyFont="1" applyFill="1" applyBorder="1" applyAlignment="1">
      <alignment horizontal="center" vertical="center"/>
    </xf>
    <xf numFmtId="0" fontId="17" fillId="2" borderId="6" xfId="0" quotePrefix="1" applyFont="1" applyFill="1" applyBorder="1" applyAlignment="1">
      <alignment horizontal="center" vertical="center"/>
    </xf>
    <xf numFmtId="0" fontId="15" fillId="2" borderId="35" xfId="0" applyFont="1" applyFill="1" applyBorder="1" applyAlignment="1" applyProtection="1">
      <alignment horizontal="center" vertical="center" shrinkToFit="1"/>
      <protection locked="0"/>
    </xf>
    <xf numFmtId="0" fontId="0" fillId="0" borderId="4" xfId="0" applyBorder="1" applyAlignment="1">
      <alignment horizontal="left"/>
    </xf>
    <xf numFmtId="0" fontId="17" fillId="2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2" borderId="20" xfId="0" applyFont="1" applyFill="1" applyBorder="1" applyAlignment="1" applyProtection="1">
      <alignment horizontal="center" vertical="center" shrinkToFit="1"/>
      <protection locked="0"/>
    </xf>
    <xf numFmtId="0" fontId="2" fillId="0" borderId="29" xfId="0" applyFont="1" applyBorder="1" applyAlignment="1" applyProtection="1">
      <alignment horizontal="center" vertical="center" shrinkToFit="1"/>
      <protection locked="0"/>
    </xf>
    <xf numFmtId="0" fontId="2" fillId="0" borderId="6" xfId="0" applyFont="1" applyBorder="1" applyAlignment="1" applyProtection="1">
      <alignment horizontal="center" vertical="center" shrinkToFit="1"/>
      <protection locked="0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 applyProtection="1">
      <alignment horizontal="center" vertical="center" shrinkToFit="1"/>
      <protection locked="0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/>
    </xf>
    <xf numFmtId="0" fontId="11" fillId="2" borderId="45" xfId="0" applyFont="1" applyFill="1" applyBorder="1" applyAlignment="1">
      <alignment horizontal="center"/>
    </xf>
    <xf numFmtId="0" fontId="11" fillId="2" borderId="46" xfId="0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0" fontId="15" fillId="2" borderId="44" xfId="0" applyFont="1" applyFill="1" applyBorder="1" applyAlignment="1" applyProtection="1">
      <alignment horizontal="center" vertical="center" shrinkToFit="1"/>
      <protection locked="0"/>
    </xf>
    <xf numFmtId="0" fontId="15" fillId="2" borderId="46" xfId="0" applyFont="1" applyFill="1" applyBorder="1" applyAlignment="1" applyProtection="1">
      <alignment horizontal="center" vertical="center" shrinkToFit="1"/>
      <protection locked="0"/>
    </xf>
    <xf numFmtId="0" fontId="15" fillId="2" borderId="49" xfId="0" applyFont="1" applyFill="1" applyBorder="1" applyAlignment="1" applyProtection="1">
      <alignment horizontal="center" vertical="center" shrinkToFit="1"/>
      <protection locked="0"/>
    </xf>
    <xf numFmtId="0" fontId="17" fillId="2" borderId="46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shrinkToFit="1"/>
    </xf>
    <xf numFmtId="0" fontId="15" fillId="2" borderId="24" xfId="0" applyFont="1" applyFill="1" applyBorder="1" applyAlignment="1" applyProtection="1">
      <alignment horizontal="center" vertical="center" shrinkToFit="1"/>
      <protection locked="0"/>
    </xf>
    <xf numFmtId="0" fontId="15" fillId="2" borderId="50" xfId="0" applyFont="1" applyFill="1" applyBorder="1" applyAlignment="1" applyProtection="1">
      <alignment horizontal="center" vertical="center" shrinkToFit="1"/>
      <protection locked="0"/>
    </xf>
    <xf numFmtId="0" fontId="2" fillId="0" borderId="6" xfId="0" applyFont="1" applyBorder="1" applyAlignment="1">
      <alignment horizontal="center" vertical="center"/>
    </xf>
    <xf numFmtId="0" fontId="17" fillId="2" borderId="6" xfId="0" applyFont="1" applyFill="1" applyBorder="1" applyAlignment="1">
      <alignment vertical="center" shrinkToFit="1"/>
    </xf>
    <xf numFmtId="0" fontId="16" fillId="2" borderId="6" xfId="0" applyFont="1" applyFill="1" applyBorder="1" applyAlignment="1">
      <alignment vertical="center"/>
    </xf>
    <xf numFmtId="0" fontId="2" fillId="0" borderId="55" xfId="0" applyFont="1" applyBorder="1" applyAlignment="1">
      <alignment horizontal="center" vertical="center" shrinkToFi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11" fillId="0" borderId="59" xfId="0" applyNumberFormat="1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shrinkToFi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horizontal="center"/>
    </xf>
    <xf numFmtId="0" fontId="15" fillId="2" borderId="29" xfId="0" applyFont="1" applyFill="1" applyBorder="1" applyAlignment="1">
      <alignment horizontal="center" vertical="center" shrinkToFit="1"/>
    </xf>
    <xf numFmtId="49" fontId="11" fillId="0" borderId="29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5" xfId="0" applyFont="1" applyBorder="1" applyAlignment="1" applyProtection="1">
      <alignment horizontal="center" vertical="center" shrinkToFit="1"/>
      <protection locked="0"/>
    </xf>
    <xf numFmtId="0" fontId="12" fillId="2" borderId="29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2" fillId="0" borderId="46" xfId="0" applyFont="1" applyBorder="1" applyAlignment="1" applyProtection="1">
      <alignment horizontal="center" vertical="center" shrinkToFit="1"/>
      <protection locked="0"/>
    </xf>
    <xf numFmtId="0" fontId="0" fillId="0" borderId="46" xfId="0" applyBorder="1" applyAlignment="1">
      <alignment horizontal="center"/>
    </xf>
    <xf numFmtId="0" fontId="15" fillId="0" borderId="6" xfId="0" applyFont="1" applyBorder="1" applyAlignment="1">
      <alignment horizontal="center" vertical="center" shrinkToFit="1"/>
    </xf>
    <xf numFmtId="0" fontId="17" fillId="0" borderId="6" xfId="0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15" fillId="2" borderId="24" xfId="0" applyFont="1" applyFill="1" applyBorder="1" applyAlignment="1">
      <alignment horizontal="center" vertical="center" shrinkToFit="1"/>
    </xf>
    <xf numFmtId="0" fontId="15" fillId="2" borderId="15" xfId="0" applyFont="1" applyFill="1" applyBorder="1" applyAlignment="1">
      <alignment horizontal="center" vertical="center" shrinkToFit="1"/>
    </xf>
    <xf numFmtId="0" fontId="15" fillId="2" borderId="20" xfId="0" applyFont="1" applyFill="1" applyBorder="1" applyAlignment="1">
      <alignment horizontal="center" vertical="center" shrinkToFit="1"/>
    </xf>
    <xf numFmtId="0" fontId="15" fillId="0" borderId="24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 shrinkToFit="1"/>
    </xf>
    <xf numFmtId="0" fontId="15" fillId="0" borderId="20" xfId="0" applyFont="1" applyBorder="1" applyAlignment="1">
      <alignment horizontal="center" vertical="center" shrinkToFi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3" borderId="33" xfId="0" applyFont="1" applyFill="1" applyBorder="1" applyAlignment="1">
      <alignment vertical="top" wrapText="1"/>
    </xf>
    <xf numFmtId="0" fontId="13" fillId="3" borderId="21" xfId="0" applyFont="1" applyFill="1" applyBorder="1" applyAlignment="1">
      <alignment vertical="top" wrapText="1"/>
    </xf>
    <xf numFmtId="0" fontId="13" fillId="3" borderId="51" xfId="0" applyFont="1" applyFill="1" applyBorder="1" applyAlignment="1">
      <alignment vertical="top" wrapText="1"/>
    </xf>
    <xf numFmtId="0" fontId="13" fillId="3" borderId="19" xfId="0" applyFont="1" applyFill="1" applyBorder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3" fillId="3" borderId="52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3" fillId="3" borderId="4" xfId="0" applyFont="1" applyFill="1" applyBorder="1" applyAlignment="1">
      <alignment vertical="top" wrapText="1"/>
    </xf>
    <xf numFmtId="0" fontId="13" fillId="3" borderId="53" xfId="0" applyFont="1" applyFill="1" applyBorder="1" applyAlignment="1">
      <alignment vertical="top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/>
    </xf>
    <xf numFmtId="0" fontId="15" fillId="2" borderId="6" xfId="0" applyFont="1" applyFill="1" applyBorder="1" applyAlignment="1" applyProtection="1">
      <alignment horizontal="center" vertical="center" shrinkToFit="1"/>
      <protection locked="0"/>
    </xf>
    <xf numFmtId="0" fontId="15" fillId="2" borderId="6" xfId="0" applyFont="1" applyFill="1" applyBorder="1" applyAlignment="1">
      <alignment horizontal="center" vertical="center" shrinkToFit="1"/>
    </xf>
    <xf numFmtId="0" fontId="15" fillId="2" borderId="24" xfId="0" applyFont="1" applyFill="1" applyBorder="1" applyAlignment="1" applyProtection="1">
      <alignment horizontal="center" vertical="center" shrinkToFit="1"/>
      <protection locked="0"/>
    </xf>
    <xf numFmtId="0" fontId="15" fillId="2" borderId="35" xfId="0" applyFont="1" applyFill="1" applyBorder="1" applyAlignment="1">
      <alignment horizontal="center" vertical="center" shrinkToFit="1"/>
    </xf>
    <xf numFmtId="0" fontId="17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4" fillId="4" borderId="64" xfId="0" applyFont="1" applyFill="1" applyBorder="1" applyAlignment="1">
      <alignment horizontal="center" vertical="center" shrinkToFit="1"/>
    </xf>
    <xf numFmtId="0" fontId="4" fillId="4" borderId="65" xfId="0" applyFont="1" applyFill="1" applyBorder="1" applyAlignment="1">
      <alignment horizontal="center" vertical="center" shrinkToFit="1"/>
    </xf>
    <xf numFmtId="0" fontId="4" fillId="4" borderId="66" xfId="0" applyFont="1" applyFill="1" applyBorder="1" applyAlignment="1">
      <alignment horizontal="center" vertical="center" shrinkToFit="1"/>
    </xf>
    <xf numFmtId="0" fontId="4" fillId="4" borderId="30" xfId="0" applyFont="1" applyFill="1" applyBorder="1" applyAlignment="1">
      <alignment horizontal="center" vertical="center" shrinkToFit="1"/>
    </xf>
    <xf numFmtId="0" fontId="4" fillId="4" borderId="27" xfId="0" applyFont="1" applyFill="1" applyBorder="1" applyAlignment="1">
      <alignment horizontal="center" vertical="center" shrinkToFit="1"/>
    </xf>
    <xf numFmtId="0" fontId="4" fillId="4" borderId="36" xfId="0" applyFont="1" applyFill="1" applyBorder="1" applyAlignment="1">
      <alignment horizontal="center" vertical="center" shrinkToFit="1"/>
    </xf>
    <xf numFmtId="0" fontId="4" fillId="4" borderId="29" xfId="0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shrinkToFit="1"/>
    </xf>
    <xf numFmtId="0" fontId="4" fillId="4" borderId="35" xfId="0" applyFont="1" applyFill="1" applyBorder="1" applyAlignment="1">
      <alignment horizontal="center" vertical="center" shrinkToFit="1"/>
    </xf>
    <xf numFmtId="0" fontId="4" fillId="4" borderId="26" xfId="0" applyFont="1" applyFill="1" applyBorder="1" applyAlignment="1">
      <alignment horizontal="center" vertical="center" shrinkToFit="1"/>
    </xf>
    <xf numFmtId="0" fontId="4" fillId="4" borderId="15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4" fillId="4" borderId="28" xfId="0" applyFont="1" applyFill="1" applyBorder="1" applyAlignment="1">
      <alignment horizontal="center" vertical="center" shrinkToFit="1"/>
    </xf>
    <xf numFmtId="0" fontId="4" fillId="4" borderId="14" xfId="0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shrinkToFit="1"/>
    </xf>
    <xf numFmtId="0" fontId="4" fillId="4" borderId="8" xfId="0" applyFont="1" applyFill="1" applyBorder="1" applyAlignment="1">
      <alignment horizontal="center" vertical="center" shrinkToFit="1"/>
    </xf>
    <xf numFmtId="0" fontId="4" fillId="4" borderId="62" xfId="0" applyFont="1" applyFill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 shrinkToFit="1"/>
    </xf>
    <xf numFmtId="0" fontId="4" fillId="4" borderId="40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4" fillId="4" borderId="34" xfId="0" applyFont="1" applyFill="1" applyBorder="1" applyAlignment="1">
      <alignment horizontal="center" vertical="center" shrinkToFit="1"/>
    </xf>
    <xf numFmtId="0" fontId="4" fillId="4" borderId="37" xfId="0" applyFont="1" applyFill="1" applyBorder="1" applyAlignment="1">
      <alignment horizontal="center" vertical="center" shrinkToFit="1"/>
    </xf>
    <xf numFmtId="0" fontId="4" fillId="4" borderId="9" xfId="0" applyFont="1" applyFill="1" applyBorder="1" applyAlignment="1">
      <alignment horizontal="center" vertical="center" shrinkToFit="1"/>
    </xf>
    <xf numFmtId="0" fontId="4" fillId="4" borderId="63" xfId="0" applyFont="1" applyFill="1" applyBorder="1" applyAlignment="1">
      <alignment horizontal="center" vertical="center" shrinkToFit="1"/>
    </xf>
    <xf numFmtId="0" fontId="15" fillId="2" borderId="29" xfId="0" applyFont="1" applyFill="1" applyBorder="1" applyAlignment="1" applyProtection="1">
      <alignment horizontal="center" vertical="center" wrapText="1" shrinkToFit="1"/>
      <protection locked="0"/>
    </xf>
    <xf numFmtId="0" fontId="4" fillId="4" borderId="48" xfId="0" applyFont="1" applyFill="1" applyBorder="1" applyAlignment="1">
      <alignment horizontal="center" vertical="center" shrinkToFit="1"/>
    </xf>
    <xf numFmtId="0" fontId="4" fillId="4" borderId="45" xfId="0" applyFont="1" applyFill="1" applyBorder="1" applyAlignment="1">
      <alignment horizontal="center" vertical="center" shrinkToFit="1"/>
    </xf>
    <xf numFmtId="0" fontId="4" fillId="4" borderId="47" xfId="0" applyFont="1" applyFill="1" applyBorder="1" applyAlignment="1">
      <alignment horizontal="center" vertical="center" shrinkToFit="1"/>
    </xf>
    <xf numFmtId="0" fontId="15" fillId="2" borderId="24" xfId="0" applyFont="1" applyFill="1" applyBorder="1" applyAlignment="1" applyProtection="1">
      <alignment horizontal="center" vertical="center" wrapText="1" shrinkToFit="1"/>
      <protection locked="0"/>
    </xf>
    <xf numFmtId="0" fontId="15" fillId="2" borderId="15" xfId="0" applyFont="1" applyFill="1" applyBorder="1" applyAlignment="1" applyProtection="1">
      <alignment horizontal="center" vertical="center" shrinkToFit="1"/>
      <protection locked="0"/>
    </xf>
    <xf numFmtId="0" fontId="15" fillId="2" borderId="20" xfId="0" applyFont="1" applyFill="1" applyBorder="1" applyAlignment="1" applyProtection="1">
      <alignment horizontal="center" vertical="center" shrinkToFit="1"/>
      <protection locked="0"/>
    </xf>
    <xf numFmtId="0" fontId="2" fillId="0" borderId="2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40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620318</xdr:colOff>
      <xdr:row>79</xdr:row>
      <xdr:rowOff>98761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E24DA47A-C6DA-B405-5C75-7401250733B5}"/>
            </a:ext>
          </a:extLst>
        </xdr:cNvPr>
        <xdr:cNvGrpSpPr/>
      </xdr:nvGrpSpPr>
      <xdr:grpSpPr>
        <a:xfrm>
          <a:off x="0" y="0"/>
          <a:ext cx="9532452" cy="14396875"/>
          <a:chOff x="0" y="0"/>
          <a:chExt cx="8545118" cy="14144961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731F802A-C112-E970-D4C7-DD4B0047C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545118" cy="4667901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6CD5C590-11FA-92D2-A4DF-700D702F9F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4622800"/>
            <a:ext cx="8383170" cy="512516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454343E-9B72-8981-BA06-7204B2E74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9779000"/>
            <a:ext cx="8316486" cy="2000529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1036A2E1-34F7-346A-F982-5683CC5461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1734800"/>
            <a:ext cx="8242300" cy="2410161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2026&#44368;&#47924;&#48512;/2026%20&#44368;&#50977;&#44284;&#51221;/SaniTOX%20LINK%20ab09716d" TargetMode="External"/><Relationship Id="rId2" Type="http://schemas.microsoft.com/office/2006/relationships/xlExternalLinkPath/xlPathMissing" Target="SaniTOX%20LINK%20b7ee48f9" TargetMode="External"/><Relationship Id="rId1" Type="http://schemas.openxmlformats.org/officeDocument/2006/relationships/externalLinkPath" Target="/Users/user/Desktop/2026&#44368;&#47924;&#48512;/2026%20&#44368;&#50977;&#44284;&#51221;/SaniTOX%20LINK%20ab09716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3">
          <cell r="D3" t="str">
            <v>일반</v>
          </cell>
        </row>
        <row r="4">
          <cell r="D4" t="str">
            <v>진로</v>
          </cell>
        </row>
        <row r="5">
          <cell r="D5" t="str">
            <v>융합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</row>
        <row r="15">
          <cell r="D15" t="str">
            <v>공통국어2</v>
          </cell>
          <cell r="E15">
            <v>4</v>
          </cell>
        </row>
        <row r="16">
          <cell r="D16" t="str">
            <v>공통수학1</v>
          </cell>
          <cell r="E16">
            <v>4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A4D79-735E-464F-B93A-376B8C382A53}" name="표1" displayName="표1" ref="A1:A4" totalsRowShown="0" headerRowDxfId="39" dataDxfId="37" headerRowBorderDxfId="38" tableBorderDxfId="36" totalsRowBorderDxfId="35">
  <autoFilter ref="A1:A4" xr:uid="{CCFA4D79-735E-464F-B93A-376B8C382A53}"/>
  <tableColumns count="1">
    <tableColumn id="1" xr3:uid="{1A1184AA-0478-4CF4-93F0-27B5EB5BDA7E}" name="과목유형" dataDxfId="3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898A6C-3467-497B-81E9-E24B1D092946}" name="표7" displayName="표7" ref="B1:B8" totalsRowShown="0" headerRowDxfId="33" dataDxfId="31" headerRowBorderDxfId="32" tableBorderDxfId="30" totalsRowBorderDxfId="29">
  <autoFilter ref="B1:B8" xr:uid="{F7898A6C-3467-497B-81E9-E24B1D092946}"/>
  <tableColumns count="1">
    <tableColumn id="1" xr3:uid="{91563066-F3FA-4D14-BBEF-63A29EE65474}" name="공통" dataDxfId="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7D3FD-4C99-4227-9B50-BACA134F4961}" name="표8" displayName="표8" ref="C1:C52" totalsRowShown="0" headerRowDxfId="27" dataDxfId="25" headerRowBorderDxfId="26" tableBorderDxfId="24" totalsRowBorderDxfId="23">
  <autoFilter ref="C1:C52" xr:uid="{0007D3FD-4C99-4227-9B50-BACA134F4961}"/>
  <tableColumns count="1">
    <tableColumn id="1" xr3:uid="{DDB2ACDD-510A-4186-BEBB-DE66B37CC851}" name="일반" dataDxfId="2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0B665A-BC92-4CD6-9B2D-DCBF1F8DD1BC}" name="표9" displayName="표9" ref="D1:D47" totalsRowShown="0" headerRowDxfId="21" dataDxfId="19" headerRowBorderDxfId="20" tableBorderDxfId="18" totalsRowBorderDxfId="17">
  <autoFilter ref="D1:D47" xr:uid="{270B665A-BC92-4CD6-9B2D-DCBF1F8DD1BC}"/>
  <tableColumns count="1">
    <tableColumn id="1" xr3:uid="{6A2008B5-CC90-4AC7-9FA7-27B71BA84410}" name="진로" dataDxfId="1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AF97B9-1145-4398-BDF9-DE4286FF39BD}" name="표10" displayName="표10" ref="E1:E5" totalsRowShown="0" headerRowDxfId="15" dataDxfId="13" headerRowBorderDxfId="14" tableBorderDxfId="12" totalsRowBorderDxfId="11">
  <autoFilter ref="E1:E5" xr:uid="{49AF97B9-1145-4398-BDF9-DE4286FF39BD}"/>
  <tableColumns count="1">
    <tableColumn id="1" xr3:uid="{A30281C9-FDAE-4686-BC92-0C1FF0D7567F}" name="비고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325E-E024-4124-A6CA-07F487B77AD7}">
  <sheetPr>
    <pageSetUpPr fitToPage="1"/>
  </sheetPr>
  <dimension ref="A1:N115"/>
  <sheetViews>
    <sheetView tabSelected="1" zoomScale="85" zoomScaleNormal="85" zoomScaleSheetLayoutView="100" workbookViewId="0">
      <selection activeCell="L13" sqref="L13"/>
    </sheetView>
  </sheetViews>
  <sheetFormatPr defaultRowHeight="14.15"/>
  <cols>
    <col min="1" max="1" width="4.6640625" customWidth="1"/>
    <col min="2" max="2" width="5.796875" customWidth="1"/>
    <col min="3" max="3" width="13.06640625" customWidth="1"/>
    <col min="4" max="4" width="9.06640625" style="1" customWidth="1"/>
    <col min="5" max="5" width="16.06640625" style="1" bestFit="1" customWidth="1"/>
    <col min="6" max="13" width="5.796875" style="1" customWidth="1"/>
    <col min="14" max="14" width="13" style="1" customWidth="1"/>
    <col min="15" max="15" width="6" customWidth="1"/>
    <col min="230" max="230" width="3.59765625" customWidth="1"/>
    <col min="231" max="233" width="5.796875" customWidth="1"/>
    <col min="234" max="234" width="11.06640625" customWidth="1"/>
    <col min="235" max="242" width="5.796875" customWidth="1"/>
    <col min="243" max="243" width="7.06640625" customWidth="1"/>
    <col min="244" max="245" width="5.796875" customWidth="1"/>
    <col min="246" max="246" width="6" customWidth="1"/>
    <col min="486" max="486" width="3.59765625" customWidth="1"/>
    <col min="487" max="489" width="5.796875" customWidth="1"/>
    <col min="490" max="490" width="11.06640625" customWidth="1"/>
    <col min="491" max="498" width="5.796875" customWidth="1"/>
    <col min="499" max="499" width="7.06640625" customWidth="1"/>
    <col min="500" max="501" width="5.796875" customWidth="1"/>
    <col min="502" max="502" width="6" customWidth="1"/>
    <col min="742" max="742" width="3.59765625" customWidth="1"/>
    <col min="743" max="745" width="5.796875" customWidth="1"/>
    <col min="746" max="746" width="11.06640625" customWidth="1"/>
    <col min="747" max="754" width="5.796875" customWidth="1"/>
    <col min="755" max="755" width="7.06640625" customWidth="1"/>
    <col min="756" max="757" width="5.796875" customWidth="1"/>
    <col min="758" max="758" width="6" customWidth="1"/>
    <col min="998" max="998" width="3.59765625" customWidth="1"/>
    <col min="999" max="1001" width="5.796875" customWidth="1"/>
    <col min="1002" max="1002" width="11.06640625" customWidth="1"/>
    <col min="1003" max="1010" width="5.796875" customWidth="1"/>
    <col min="1011" max="1011" width="7.06640625" customWidth="1"/>
    <col min="1012" max="1013" width="5.796875" customWidth="1"/>
    <col min="1014" max="1014" width="6" customWidth="1"/>
    <col min="1254" max="1254" width="3.59765625" customWidth="1"/>
    <col min="1255" max="1257" width="5.796875" customWidth="1"/>
    <col min="1258" max="1258" width="11.06640625" customWidth="1"/>
    <col min="1259" max="1266" width="5.796875" customWidth="1"/>
    <col min="1267" max="1267" width="7.06640625" customWidth="1"/>
    <col min="1268" max="1269" width="5.796875" customWidth="1"/>
    <col min="1270" max="1270" width="6" customWidth="1"/>
    <col min="1510" max="1510" width="3.59765625" customWidth="1"/>
    <col min="1511" max="1513" width="5.796875" customWidth="1"/>
    <col min="1514" max="1514" width="11.06640625" customWidth="1"/>
    <col min="1515" max="1522" width="5.796875" customWidth="1"/>
    <col min="1523" max="1523" width="7.06640625" customWidth="1"/>
    <col min="1524" max="1525" width="5.796875" customWidth="1"/>
    <col min="1526" max="1526" width="6" customWidth="1"/>
    <col min="1766" max="1766" width="3.59765625" customWidth="1"/>
    <col min="1767" max="1769" width="5.796875" customWidth="1"/>
    <col min="1770" max="1770" width="11.06640625" customWidth="1"/>
    <col min="1771" max="1778" width="5.796875" customWidth="1"/>
    <col min="1779" max="1779" width="7.06640625" customWidth="1"/>
    <col min="1780" max="1781" width="5.796875" customWidth="1"/>
    <col min="1782" max="1782" width="6" customWidth="1"/>
    <col min="2022" max="2022" width="3.59765625" customWidth="1"/>
    <col min="2023" max="2025" width="5.796875" customWidth="1"/>
    <col min="2026" max="2026" width="11.06640625" customWidth="1"/>
    <col min="2027" max="2034" width="5.796875" customWidth="1"/>
    <col min="2035" max="2035" width="7.06640625" customWidth="1"/>
    <col min="2036" max="2037" width="5.796875" customWidth="1"/>
    <col min="2038" max="2038" width="6" customWidth="1"/>
    <col min="2278" max="2278" width="3.59765625" customWidth="1"/>
    <col min="2279" max="2281" width="5.796875" customWidth="1"/>
    <col min="2282" max="2282" width="11.06640625" customWidth="1"/>
    <col min="2283" max="2290" width="5.796875" customWidth="1"/>
    <col min="2291" max="2291" width="7.06640625" customWidth="1"/>
    <col min="2292" max="2293" width="5.796875" customWidth="1"/>
    <col min="2294" max="2294" width="6" customWidth="1"/>
    <col min="2534" max="2534" width="3.59765625" customWidth="1"/>
    <col min="2535" max="2537" width="5.796875" customWidth="1"/>
    <col min="2538" max="2538" width="11.06640625" customWidth="1"/>
    <col min="2539" max="2546" width="5.796875" customWidth="1"/>
    <col min="2547" max="2547" width="7.06640625" customWidth="1"/>
    <col min="2548" max="2549" width="5.796875" customWidth="1"/>
    <col min="2550" max="2550" width="6" customWidth="1"/>
    <col min="2790" max="2790" width="3.59765625" customWidth="1"/>
    <col min="2791" max="2793" width="5.796875" customWidth="1"/>
    <col min="2794" max="2794" width="11.06640625" customWidth="1"/>
    <col min="2795" max="2802" width="5.796875" customWidth="1"/>
    <col min="2803" max="2803" width="7.06640625" customWidth="1"/>
    <col min="2804" max="2805" width="5.796875" customWidth="1"/>
    <col min="2806" max="2806" width="6" customWidth="1"/>
    <col min="3046" max="3046" width="3.59765625" customWidth="1"/>
    <col min="3047" max="3049" width="5.796875" customWidth="1"/>
    <col min="3050" max="3050" width="11.06640625" customWidth="1"/>
    <col min="3051" max="3058" width="5.796875" customWidth="1"/>
    <col min="3059" max="3059" width="7.06640625" customWidth="1"/>
    <col min="3060" max="3061" width="5.796875" customWidth="1"/>
    <col min="3062" max="3062" width="6" customWidth="1"/>
    <col min="3302" max="3302" width="3.59765625" customWidth="1"/>
    <col min="3303" max="3305" width="5.796875" customWidth="1"/>
    <col min="3306" max="3306" width="11.06640625" customWidth="1"/>
    <col min="3307" max="3314" width="5.796875" customWidth="1"/>
    <col min="3315" max="3315" width="7.06640625" customWidth="1"/>
    <col min="3316" max="3317" width="5.796875" customWidth="1"/>
    <col min="3318" max="3318" width="6" customWidth="1"/>
    <col min="3558" max="3558" width="3.59765625" customWidth="1"/>
    <col min="3559" max="3561" width="5.796875" customWidth="1"/>
    <col min="3562" max="3562" width="11.06640625" customWidth="1"/>
    <col min="3563" max="3570" width="5.796875" customWidth="1"/>
    <col min="3571" max="3571" width="7.06640625" customWidth="1"/>
    <col min="3572" max="3573" width="5.796875" customWidth="1"/>
    <col min="3574" max="3574" width="6" customWidth="1"/>
    <col min="3814" max="3814" width="3.59765625" customWidth="1"/>
    <col min="3815" max="3817" width="5.796875" customWidth="1"/>
    <col min="3818" max="3818" width="11.06640625" customWidth="1"/>
    <col min="3819" max="3826" width="5.796875" customWidth="1"/>
    <col min="3827" max="3827" width="7.06640625" customWidth="1"/>
    <col min="3828" max="3829" width="5.796875" customWidth="1"/>
    <col min="3830" max="3830" width="6" customWidth="1"/>
    <col min="4070" max="4070" width="3.59765625" customWidth="1"/>
    <col min="4071" max="4073" width="5.796875" customWidth="1"/>
    <col min="4074" max="4074" width="11.06640625" customWidth="1"/>
    <col min="4075" max="4082" width="5.796875" customWidth="1"/>
    <col min="4083" max="4083" width="7.06640625" customWidth="1"/>
    <col min="4084" max="4085" width="5.796875" customWidth="1"/>
    <col min="4086" max="4086" width="6" customWidth="1"/>
    <col min="4326" max="4326" width="3.59765625" customWidth="1"/>
    <col min="4327" max="4329" width="5.796875" customWidth="1"/>
    <col min="4330" max="4330" width="11.06640625" customWidth="1"/>
    <col min="4331" max="4338" width="5.796875" customWidth="1"/>
    <col min="4339" max="4339" width="7.06640625" customWidth="1"/>
    <col min="4340" max="4341" width="5.796875" customWidth="1"/>
    <col min="4342" max="4342" width="6" customWidth="1"/>
    <col min="4582" max="4582" width="3.59765625" customWidth="1"/>
    <col min="4583" max="4585" width="5.796875" customWidth="1"/>
    <col min="4586" max="4586" width="11.06640625" customWidth="1"/>
    <col min="4587" max="4594" width="5.796875" customWidth="1"/>
    <col min="4595" max="4595" width="7.06640625" customWidth="1"/>
    <col min="4596" max="4597" width="5.796875" customWidth="1"/>
    <col min="4598" max="4598" width="6" customWidth="1"/>
    <col min="4838" max="4838" width="3.59765625" customWidth="1"/>
    <col min="4839" max="4841" width="5.796875" customWidth="1"/>
    <col min="4842" max="4842" width="11.06640625" customWidth="1"/>
    <col min="4843" max="4850" width="5.796875" customWidth="1"/>
    <col min="4851" max="4851" width="7.06640625" customWidth="1"/>
    <col min="4852" max="4853" width="5.796875" customWidth="1"/>
    <col min="4854" max="4854" width="6" customWidth="1"/>
    <col min="5094" max="5094" width="3.59765625" customWidth="1"/>
    <col min="5095" max="5097" width="5.796875" customWidth="1"/>
    <col min="5098" max="5098" width="11.06640625" customWidth="1"/>
    <col min="5099" max="5106" width="5.796875" customWidth="1"/>
    <col min="5107" max="5107" width="7.06640625" customWidth="1"/>
    <col min="5108" max="5109" width="5.796875" customWidth="1"/>
    <col min="5110" max="5110" width="6" customWidth="1"/>
    <col min="5350" max="5350" width="3.59765625" customWidth="1"/>
    <col min="5351" max="5353" width="5.796875" customWidth="1"/>
    <col min="5354" max="5354" width="11.06640625" customWidth="1"/>
    <col min="5355" max="5362" width="5.796875" customWidth="1"/>
    <col min="5363" max="5363" width="7.06640625" customWidth="1"/>
    <col min="5364" max="5365" width="5.796875" customWidth="1"/>
    <col min="5366" max="5366" width="6" customWidth="1"/>
    <col min="5606" max="5606" width="3.59765625" customWidth="1"/>
    <col min="5607" max="5609" width="5.796875" customWidth="1"/>
    <col min="5610" max="5610" width="11.06640625" customWidth="1"/>
    <col min="5611" max="5618" width="5.796875" customWidth="1"/>
    <col min="5619" max="5619" width="7.06640625" customWidth="1"/>
    <col min="5620" max="5621" width="5.796875" customWidth="1"/>
    <col min="5622" max="5622" width="6" customWidth="1"/>
    <col min="5862" max="5862" width="3.59765625" customWidth="1"/>
    <col min="5863" max="5865" width="5.796875" customWidth="1"/>
    <col min="5866" max="5866" width="11.06640625" customWidth="1"/>
    <col min="5867" max="5874" width="5.796875" customWidth="1"/>
    <col min="5875" max="5875" width="7.06640625" customWidth="1"/>
    <col min="5876" max="5877" width="5.796875" customWidth="1"/>
    <col min="5878" max="5878" width="6" customWidth="1"/>
    <col min="6118" max="6118" width="3.59765625" customWidth="1"/>
    <col min="6119" max="6121" width="5.796875" customWidth="1"/>
    <col min="6122" max="6122" width="11.06640625" customWidth="1"/>
    <col min="6123" max="6130" width="5.796875" customWidth="1"/>
    <col min="6131" max="6131" width="7.06640625" customWidth="1"/>
    <col min="6132" max="6133" width="5.796875" customWidth="1"/>
    <col min="6134" max="6134" width="6" customWidth="1"/>
    <col min="6374" max="6374" width="3.59765625" customWidth="1"/>
    <col min="6375" max="6377" width="5.796875" customWidth="1"/>
    <col min="6378" max="6378" width="11.06640625" customWidth="1"/>
    <col min="6379" max="6386" width="5.796875" customWidth="1"/>
    <col min="6387" max="6387" width="7.06640625" customWidth="1"/>
    <col min="6388" max="6389" width="5.796875" customWidth="1"/>
    <col min="6390" max="6390" width="6" customWidth="1"/>
    <col min="6630" max="6630" width="3.59765625" customWidth="1"/>
    <col min="6631" max="6633" width="5.796875" customWidth="1"/>
    <col min="6634" max="6634" width="11.06640625" customWidth="1"/>
    <col min="6635" max="6642" width="5.796875" customWidth="1"/>
    <col min="6643" max="6643" width="7.06640625" customWidth="1"/>
    <col min="6644" max="6645" width="5.796875" customWidth="1"/>
    <col min="6646" max="6646" width="6" customWidth="1"/>
    <col min="6886" max="6886" width="3.59765625" customWidth="1"/>
    <col min="6887" max="6889" width="5.796875" customWidth="1"/>
    <col min="6890" max="6890" width="11.06640625" customWidth="1"/>
    <col min="6891" max="6898" width="5.796875" customWidth="1"/>
    <col min="6899" max="6899" width="7.06640625" customWidth="1"/>
    <col min="6900" max="6901" width="5.796875" customWidth="1"/>
    <col min="6902" max="6902" width="6" customWidth="1"/>
    <col min="7142" max="7142" width="3.59765625" customWidth="1"/>
    <col min="7143" max="7145" width="5.796875" customWidth="1"/>
    <col min="7146" max="7146" width="11.06640625" customWidth="1"/>
    <col min="7147" max="7154" width="5.796875" customWidth="1"/>
    <col min="7155" max="7155" width="7.06640625" customWidth="1"/>
    <col min="7156" max="7157" width="5.796875" customWidth="1"/>
    <col min="7158" max="7158" width="6" customWidth="1"/>
    <col min="7398" max="7398" width="3.59765625" customWidth="1"/>
    <col min="7399" max="7401" width="5.796875" customWidth="1"/>
    <col min="7402" max="7402" width="11.06640625" customWidth="1"/>
    <col min="7403" max="7410" width="5.796875" customWidth="1"/>
    <col min="7411" max="7411" width="7.06640625" customWidth="1"/>
    <col min="7412" max="7413" width="5.796875" customWidth="1"/>
    <col min="7414" max="7414" width="6" customWidth="1"/>
    <col min="7654" max="7654" width="3.59765625" customWidth="1"/>
    <col min="7655" max="7657" width="5.796875" customWidth="1"/>
    <col min="7658" max="7658" width="11.06640625" customWidth="1"/>
    <col min="7659" max="7666" width="5.796875" customWidth="1"/>
    <col min="7667" max="7667" width="7.06640625" customWidth="1"/>
    <col min="7668" max="7669" width="5.796875" customWidth="1"/>
    <col min="7670" max="7670" width="6" customWidth="1"/>
    <col min="7910" max="7910" width="3.59765625" customWidth="1"/>
    <col min="7911" max="7913" width="5.796875" customWidth="1"/>
    <col min="7914" max="7914" width="11.06640625" customWidth="1"/>
    <col min="7915" max="7922" width="5.796875" customWidth="1"/>
    <col min="7923" max="7923" width="7.06640625" customWidth="1"/>
    <col min="7924" max="7925" width="5.796875" customWidth="1"/>
    <col min="7926" max="7926" width="6" customWidth="1"/>
    <col min="8166" max="8166" width="3.59765625" customWidth="1"/>
    <col min="8167" max="8169" width="5.796875" customWidth="1"/>
    <col min="8170" max="8170" width="11.06640625" customWidth="1"/>
    <col min="8171" max="8178" width="5.796875" customWidth="1"/>
    <col min="8179" max="8179" width="7.06640625" customWidth="1"/>
    <col min="8180" max="8181" width="5.796875" customWidth="1"/>
    <col min="8182" max="8182" width="6" customWidth="1"/>
    <col min="8422" max="8422" width="3.59765625" customWidth="1"/>
    <col min="8423" max="8425" width="5.796875" customWidth="1"/>
    <col min="8426" max="8426" width="11.06640625" customWidth="1"/>
    <col min="8427" max="8434" width="5.796875" customWidth="1"/>
    <col min="8435" max="8435" width="7.06640625" customWidth="1"/>
    <col min="8436" max="8437" width="5.796875" customWidth="1"/>
    <col min="8438" max="8438" width="6" customWidth="1"/>
    <col min="8678" max="8678" width="3.59765625" customWidth="1"/>
    <col min="8679" max="8681" width="5.796875" customWidth="1"/>
    <col min="8682" max="8682" width="11.06640625" customWidth="1"/>
    <col min="8683" max="8690" width="5.796875" customWidth="1"/>
    <col min="8691" max="8691" width="7.06640625" customWidth="1"/>
    <col min="8692" max="8693" width="5.796875" customWidth="1"/>
    <col min="8694" max="8694" width="6" customWidth="1"/>
    <col min="8934" max="8934" width="3.59765625" customWidth="1"/>
    <col min="8935" max="8937" width="5.796875" customWidth="1"/>
    <col min="8938" max="8938" width="11.06640625" customWidth="1"/>
    <col min="8939" max="8946" width="5.796875" customWidth="1"/>
    <col min="8947" max="8947" width="7.06640625" customWidth="1"/>
    <col min="8948" max="8949" width="5.796875" customWidth="1"/>
    <col min="8950" max="8950" width="6" customWidth="1"/>
    <col min="9190" max="9190" width="3.59765625" customWidth="1"/>
    <col min="9191" max="9193" width="5.796875" customWidth="1"/>
    <col min="9194" max="9194" width="11.06640625" customWidth="1"/>
    <col min="9195" max="9202" width="5.796875" customWidth="1"/>
    <col min="9203" max="9203" width="7.06640625" customWidth="1"/>
    <col min="9204" max="9205" width="5.796875" customWidth="1"/>
    <col min="9206" max="9206" width="6" customWidth="1"/>
    <col min="9446" max="9446" width="3.59765625" customWidth="1"/>
    <col min="9447" max="9449" width="5.796875" customWidth="1"/>
    <col min="9450" max="9450" width="11.06640625" customWidth="1"/>
    <col min="9451" max="9458" width="5.796875" customWidth="1"/>
    <col min="9459" max="9459" width="7.06640625" customWidth="1"/>
    <col min="9460" max="9461" width="5.796875" customWidth="1"/>
    <col min="9462" max="9462" width="6" customWidth="1"/>
    <col min="9702" max="9702" width="3.59765625" customWidth="1"/>
    <col min="9703" max="9705" width="5.796875" customWidth="1"/>
    <col min="9706" max="9706" width="11.06640625" customWidth="1"/>
    <col min="9707" max="9714" width="5.796875" customWidth="1"/>
    <col min="9715" max="9715" width="7.06640625" customWidth="1"/>
    <col min="9716" max="9717" width="5.796875" customWidth="1"/>
    <col min="9718" max="9718" width="6" customWidth="1"/>
    <col min="9958" max="9958" width="3.59765625" customWidth="1"/>
    <col min="9959" max="9961" width="5.796875" customWidth="1"/>
    <col min="9962" max="9962" width="11.06640625" customWidth="1"/>
    <col min="9963" max="9970" width="5.796875" customWidth="1"/>
    <col min="9971" max="9971" width="7.06640625" customWidth="1"/>
    <col min="9972" max="9973" width="5.796875" customWidth="1"/>
    <col min="9974" max="9974" width="6" customWidth="1"/>
    <col min="10214" max="10214" width="3.59765625" customWidth="1"/>
    <col min="10215" max="10217" width="5.796875" customWidth="1"/>
    <col min="10218" max="10218" width="11.06640625" customWidth="1"/>
    <col min="10219" max="10226" width="5.796875" customWidth="1"/>
    <col min="10227" max="10227" width="7.06640625" customWidth="1"/>
    <col min="10228" max="10229" width="5.796875" customWidth="1"/>
    <col min="10230" max="10230" width="6" customWidth="1"/>
    <col min="10470" max="10470" width="3.59765625" customWidth="1"/>
    <col min="10471" max="10473" width="5.796875" customWidth="1"/>
    <col min="10474" max="10474" width="11.06640625" customWidth="1"/>
    <col min="10475" max="10482" width="5.796875" customWidth="1"/>
    <col min="10483" max="10483" width="7.06640625" customWidth="1"/>
    <col min="10484" max="10485" width="5.796875" customWidth="1"/>
    <col min="10486" max="10486" width="6" customWidth="1"/>
    <col min="10726" max="10726" width="3.59765625" customWidth="1"/>
    <col min="10727" max="10729" width="5.796875" customWidth="1"/>
    <col min="10730" max="10730" width="11.06640625" customWidth="1"/>
    <col min="10731" max="10738" width="5.796875" customWidth="1"/>
    <col min="10739" max="10739" width="7.06640625" customWidth="1"/>
    <col min="10740" max="10741" width="5.796875" customWidth="1"/>
    <col min="10742" max="10742" width="6" customWidth="1"/>
    <col min="10982" max="10982" width="3.59765625" customWidth="1"/>
    <col min="10983" max="10985" width="5.796875" customWidth="1"/>
    <col min="10986" max="10986" width="11.06640625" customWidth="1"/>
    <col min="10987" max="10994" width="5.796875" customWidth="1"/>
    <col min="10995" max="10995" width="7.06640625" customWidth="1"/>
    <col min="10996" max="10997" width="5.796875" customWidth="1"/>
    <col min="10998" max="10998" width="6" customWidth="1"/>
    <col min="11238" max="11238" width="3.59765625" customWidth="1"/>
    <col min="11239" max="11241" width="5.796875" customWidth="1"/>
    <col min="11242" max="11242" width="11.06640625" customWidth="1"/>
    <col min="11243" max="11250" width="5.796875" customWidth="1"/>
    <col min="11251" max="11251" width="7.06640625" customWidth="1"/>
    <col min="11252" max="11253" width="5.796875" customWidth="1"/>
    <col min="11254" max="11254" width="6" customWidth="1"/>
    <col min="11494" max="11494" width="3.59765625" customWidth="1"/>
    <col min="11495" max="11497" width="5.796875" customWidth="1"/>
    <col min="11498" max="11498" width="11.06640625" customWidth="1"/>
    <col min="11499" max="11506" width="5.796875" customWidth="1"/>
    <col min="11507" max="11507" width="7.06640625" customWidth="1"/>
    <col min="11508" max="11509" width="5.796875" customWidth="1"/>
    <col min="11510" max="11510" width="6" customWidth="1"/>
    <col min="11750" max="11750" width="3.59765625" customWidth="1"/>
    <col min="11751" max="11753" width="5.796875" customWidth="1"/>
    <col min="11754" max="11754" width="11.06640625" customWidth="1"/>
    <col min="11755" max="11762" width="5.796875" customWidth="1"/>
    <col min="11763" max="11763" width="7.06640625" customWidth="1"/>
    <col min="11764" max="11765" width="5.796875" customWidth="1"/>
    <col min="11766" max="11766" width="6" customWidth="1"/>
    <col min="12006" max="12006" width="3.59765625" customWidth="1"/>
    <col min="12007" max="12009" width="5.796875" customWidth="1"/>
    <col min="12010" max="12010" width="11.06640625" customWidth="1"/>
    <col min="12011" max="12018" width="5.796875" customWidth="1"/>
    <col min="12019" max="12019" width="7.06640625" customWidth="1"/>
    <col min="12020" max="12021" width="5.796875" customWidth="1"/>
    <col min="12022" max="12022" width="6" customWidth="1"/>
    <col min="12262" max="12262" width="3.59765625" customWidth="1"/>
    <col min="12263" max="12265" width="5.796875" customWidth="1"/>
    <col min="12266" max="12266" width="11.06640625" customWidth="1"/>
    <col min="12267" max="12274" width="5.796875" customWidth="1"/>
    <col min="12275" max="12275" width="7.06640625" customWidth="1"/>
    <col min="12276" max="12277" width="5.796875" customWidth="1"/>
    <col min="12278" max="12278" width="6" customWidth="1"/>
    <col min="12518" max="12518" width="3.59765625" customWidth="1"/>
    <col min="12519" max="12521" width="5.796875" customWidth="1"/>
    <col min="12522" max="12522" width="11.06640625" customWidth="1"/>
    <col min="12523" max="12530" width="5.796875" customWidth="1"/>
    <col min="12531" max="12531" width="7.06640625" customWidth="1"/>
    <col min="12532" max="12533" width="5.796875" customWidth="1"/>
    <col min="12534" max="12534" width="6" customWidth="1"/>
    <col min="12774" max="12774" width="3.59765625" customWidth="1"/>
    <col min="12775" max="12777" width="5.796875" customWidth="1"/>
    <col min="12778" max="12778" width="11.06640625" customWidth="1"/>
    <col min="12779" max="12786" width="5.796875" customWidth="1"/>
    <col min="12787" max="12787" width="7.06640625" customWidth="1"/>
    <col min="12788" max="12789" width="5.796875" customWidth="1"/>
    <col min="12790" max="12790" width="6" customWidth="1"/>
    <col min="13030" max="13030" width="3.59765625" customWidth="1"/>
    <col min="13031" max="13033" width="5.796875" customWidth="1"/>
    <col min="13034" max="13034" width="11.06640625" customWidth="1"/>
    <col min="13035" max="13042" width="5.796875" customWidth="1"/>
    <col min="13043" max="13043" width="7.06640625" customWidth="1"/>
    <col min="13044" max="13045" width="5.796875" customWidth="1"/>
    <col min="13046" max="13046" width="6" customWidth="1"/>
    <col min="13286" max="13286" width="3.59765625" customWidth="1"/>
    <col min="13287" max="13289" width="5.796875" customWidth="1"/>
    <col min="13290" max="13290" width="11.06640625" customWidth="1"/>
    <col min="13291" max="13298" width="5.796875" customWidth="1"/>
    <col min="13299" max="13299" width="7.06640625" customWidth="1"/>
    <col min="13300" max="13301" width="5.796875" customWidth="1"/>
    <col min="13302" max="13302" width="6" customWidth="1"/>
    <col min="13542" max="13542" width="3.59765625" customWidth="1"/>
    <col min="13543" max="13545" width="5.796875" customWidth="1"/>
    <col min="13546" max="13546" width="11.06640625" customWidth="1"/>
    <col min="13547" max="13554" width="5.796875" customWidth="1"/>
    <col min="13555" max="13555" width="7.06640625" customWidth="1"/>
    <col min="13556" max="13557" width="5.796875" customWidth="1"/>
    <col min="13558" max="13558" width="6" customWidth="1"/>
    <col min="13798" max="13798" width="3.59765625" customWidth="1"/>
    <col min="13799" max="13801" width="5.796875" customWidth="1"/>
    <col min="13802" max="13802" width="11.06640625" customWidth="1"/>
    <col min="13803" max="13810" width="5.796875" customWidth="1"/>
    <col min="13811" max="13811" width="7.06640625" customWidth="1"/>
    <col min="13812" max="13813" width="5.796875" customWidth="1"/>
    <col min="13814" max="13814" width="6" customWidth="1"/>
    <col min="14054" max="14054" width="3.59765625" customWidth="1"/>
    <col min="14055" max="14057" width="5.796875" customWidth="1"/>
    <col min="14058" max="14058" width="11.06640625" customWidth="1"/>
    <col min="14059" max="14066" width="5.796875" customWidth="1"/>
    <col min="14067" max="14067" width="7.06640625" customWidth="1"/>
    <col min="14068" max="14069" width="5.796875" customWidth="1"/>
    <col min="14070" max="14070" width="6" customWidth="1"/>
    <col min="14310" max="14310" width="3.59765625" customWidth="1"/>
    <col min="14311" max="14313" width="5.796875" customWidth="1"/>
    <col min="14314" max="14314" width="11.06640625" customWidth="1"/>
    <col min="14315" max="14322" width="5.796875" customWidth="1"/>
    <col min="14323" max="14323" width="7.06640625" customWidth="1"/>
    <col min="14324" max="14325" width="5.796875" customWidth="1"/>
    <col min="14326" max="14326" width="6" customWidth="1"/>
    <col min="14566" max="14566" width="3.59765625" customWidth="1"/>
    <col min="14567" max="14569" width="5.796875" customWidth="1"/>
    <col min="14570" max="14570" width="11.06640625" customWidth="1"/>
    <col min="14571" max="14578" width="5.796875" customWidth="1"/>
    <col min="14579" max="14579" width="7.06640625" customWidth="1"/>
    <col min="14580" max="14581" width="5.796875" customWidth="1"/>
    <col min="14582" max="14582" width="6" customWidth="1"/>
    <col min="14822" max="14822" width="3.59765625" customWidth="1"/>
    <col min="14823" max="14825" width="5.796875" customWidth="1"/>
    <col min="14826" max="14826" width="11.06640625" customWidth="1"/>
    <col min="14827" max="14834" width="5.796875" customWidth="1"/>
    <col min="14835" max="14835" width="7.06640625" customWidth="1"/>
    <col min="14836" max="14837" width="5.796875" customWidth="1"/>
    <col min="14838" max="14838" width="6" customWidth="1"/>
    <col min="15078" max="15078" width="3.59765625" customWidth="1"/>
    <col min="15079" max="15081" width="5.796875" customWidth="1"/>
    <col min="15082" max="15082" width="11.06640625" customWidth="1"/>
    <col min="15083" max="15090" width="5.796875" customWidth="1"/>
    <col min="15091" max="15091" width="7.06640625" customWidth="1"/>
    <col min="15092" max="15093" width="5.796875" customWidth="1"/>
    <col min="15094" max="15094" width="6" customWidth="1"/>
    <col min="15334" max="15334" width="3.59765625" customWidth="1"/>
    <col min="15335" max="15337" width="5.796875" customWidth="1"/>
    <col min="15338" max="15338" width="11.06640625" customWidth="1"/>
    <col min="15339" max="15346" width="5.796875" customWidth="1"/>
    <col min="15347" max="15347" width="7.06640625" customWidth="1"/>
    <col min="15348" max="15349" width="5.796875" customWidth="1"/>
    <col min="15350" max="15350" width="6" customWidth="1"/>
    <col min="15590" max="15590" width="3.59765625" customWidth="1"/>
    <col min="15591" max="15593" width="5.796875" customWidth="1"/>
    <col min="15594" max="15594" width="11.06640625" customWidth="1"/>
    <col min="15595" max="15602" width="5.796875" customWidth="1"/>
    <col min="15603" max="15603" width="7.06640625" customWidth="1"/>
    <col min="15604" max="15605" width="5.796875" customWidth="1"/>
    <col min="15606" max="15606" width="6" customWidth="1"/>
    <col min="15846" max="15846" width="3.59765625" customWidth="1"/>
    <col min="15847" max="15849" width="5.796875" customWidth="1"/>
    <col min="15850" max="15850" width="11.06640625" customWidth="1"/>
    <col min="15851" max="15858" width="5.796875" customWidth="1"/>
    <col min="15859" max="15859" width="7.06640625" customWidth="1"/>
    <col min="15860" max="15861" width="5.796875" customWidth="1"/>
    <col min="15862" max="15862" width="6" customWidth="1"/>
    <col min="16102" max="16102" width="3.59765625" customWidth="1"/>
    <col min="16103" max="16105" width="5.796875" customWidth="1"/>
    <col min="16106" max="16106" width="11.06640625" customWidth="1"/>
    <col min="16107" max="16114" width="5.796875" customWidth="1"/>
    <col min="16115" max="16115" width="7.06640625" customWidth="1"/>
    <col min="16116" max="16117" width="5.796875" customWidth="1"/>
    <col min="16118" max="16118" width="6" customWidth="1"/>
  </cols>
  <sheetData>
    <row r="1" spans="1:14" ht="27">
      <c r="A1" s="163" t="s">
        <v>144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8.45" thickBot="1">
      <c r="A2" s="164" t="s">
        <v>260</v>
      </c>
      <c r="B2" s="164"/>
      <c r="C2" s="164"/>
      <c r="D2" s="165"/>
      <c r="E2" s="165"/>
      <c r="F2" s="165"/>
      <c r="G2" s="165"/>
      <c r="H2" s="22"/>
      <c r="I2" s="22"/>
      <c r="J2" s="22"/>
      <c r="K2" s="22"/>
      <c r="L2" s="24"/>
      <c r="M2" s="24"/>
      <c r="N2" s="2"/>
    </row>
    <row r="3" spans="1:14" ht="15">
      <c r="A3" s="166" t="s">
        <v>28</v>
      </c>
      <c r="B3" s="169" t="s">
        <v>27</v>
      </c>
      <c r="C3" s="172" t="s">
        <v>26</v>
      </c>
      <c r="D3" s="175" t="s">
        <v>25</v>
      </c>
      <c r="E3" s="175" t="s">
        <v>182</v>
      </c>
      <c r="F3" s="178" t="s">
        <v>24</v>
      </c>
      <c r="G3" s="175" t="s">
        <v>23</v>
      </c>
      <c r="H3" s="178" t="s">
        <v>258</v>
      </c>
      <c r="I3" s="187"/>
      <c r="J3" s="172" t="s">
        <v>211</v>
      </c>
      <c r="K3" s="172"/>
      <c r="L3" s="178" t="s">
        <v>184</v>
      </c>
      <c r="M3" s="187"/>
      <c r="N3" s="191" t="s">
        <v>22</v>
      </c>
    </row>
    <row r="4" spans="1:14" ht="15.65" customHeight="1">
      <c r="A4" s="167"/>
      <c r="B4" s="170"/>
      <c r="C4" s="173"/>
      <c r="D4" s="176"/>
      <c r="E4" s="176"/>
      <c r="F4" s="179"/>
      <c r="G4" s="176"/>
      <c r="H4" s="181" t="s">
        <v>21</v>
      </c>
      <c r="I4" s="183" t="s">
        <v>20</v>
      </c>
      <c r="J4" s="181" t="s">
        <v>21</v>
      </c>
      <c r="K4" s="183" t="s">
        <v>20</v>
      </c>
      <c r="L4" s="185" t="s">
        <v>21</v>
      </c>
      <c r="M4" s="188" t="s">
        <v>20</v>
      </c>
      <c r="N4" s="192"/>
    </row>
    <row r="5" spans="1:14" ht="15" customHeight="1" thickBot="1">
      <c r="A5" s="168"/>
      <c r="B5" s="171"/>
      <c r="C5" s="174"/>
      <c r="D5" s="177"/>
      <c r="E5" s="177"/>
      <c r="F5" s="180"/>
      <c r="G5" s="177"/>
      <c r="H5" s="182"/>
      <c r="I5" s="184"/>
      <c r="J5" s="182"/>
      <c r="K5" s="184"/>
      <c r="L5" s="186"/>
      <c r="M5" s="189"/>
      <c r="N5" s="193"/>
    </row>
    <row r="6" spans="1:14" ht="15">
      <c r="A6" s="93" t="s">
        <v>19</v>
      </c>
      <c r="B6" s="148" t="s">
        <v>11</v>
      </c>
      <c r="C6" s="96" t="s">
        <v>7</v>
      </c>
      <c r="D6" s="18" t="s">
        <v>16</v>
      </c>
      <c r="E6" s="32" t="s">
        <v>191</v>
      </c>
      <c r="F6" s="18">
        <v>4</v>
      </c>
      <c r="G6" s="18">
        <v>3</v>
      </c>
      <c r="H6" s="18">
        <v>3</v>
      </c>
      <c r="I6" s="18"/>
      <c r="J6" s="26"/>
      <c r="K6" s="26"/>
      <c r="L6" s="18"/>
      <c r="M6" s="18"/>
      <c r="N6" s="49"/>
    </row>
    <row r="7" spans="1:14" ht="15">
      <c r="A7" s="94"/>
      <c r="B7" s="149"/>
      <c r="C7" s="97"/>
      <c r="D7" s="41" t="s">
        <v>16</v>
      </c>
      <c r="E7" s="33" t="s">
        <v>192</v>
      </c>
      <c r="F7" s="41">
        <v>4</v>
      </c>
      <c r="G7" s="41">
        <v>3</v>
      </c>
      <c r="H7" s="41"/>
      <c r="I7" s="41">
        <v>3</v>
      </c>
      <c r="J7" s="27"/>
      <c r="K7" s="27"/>
      <c r="L7" s="41"/>
      <c r="M7" s="41"/>
      <c r="N7" s="50"/>
    </row>
    <row r="8" spans="1:14" ht="15">
      <c r="A8" s="94"/>
      <c r="B8" s="109"/>
      <c r="C8" s="97"/>
      <c r="D8" s="41" t="s">
        <v>145</v>
      </c>
      <c r="E8" s="33" t="s">
        <v>208</v>
      </c>
      <c r="F8" s="41">
        <v>5</v>
      </c>
      <c r="G8" s="41">
        <v>4</v>
      </c>
      <c r="H8" s="41"/>
      <c r="I8" s="41"/>
      <c r="J8" s="27"/>
      <c r="K8" s="27"/>
      <c r="L8" s="41"/>
      <c r="M8" s="41"/>
      <c r="N8" s="50"/>
    </row>
    <row r="9" spans="1:14" ht="15">
      <c r="A9" s="94"/>
      <c r="B9" s="109"/>
      <c r="C9" s="97"/>
      <c r="D9" s="41" t="s">
        <v>145</v>
      </c>
      <c r="E9" s="41" t="s">
        <v>146</v>
      </c>
      <c r="F9" s="41">
        <v>5</v>
      </c>
      <c r="G9" s="41">
        <v>4</v>
      </c>
      <c r="H9" s="41"/>
      <c r="I9" s="41"/>
      <c r="J9" s="27">
        <v>3</v>
      </c>
      <c r="K9" s="27"/>
      <c r="L9" s="41"/>
      <c r="M9" s="41"/>
      <c r="N9" s="50"/>
    </row>
    <row r="10" spans="1:14" ht="15">
      <c r="A10" s="94"/>
      <c r="B10" s="109"/>
      <c r="C10" s="98"/>
      <c r="D10" s="41" t="s">
        <v>145</v>
      </c>
      <c r="E10" s="41" t="s">
        <v>217</v>
      </c>
      <c r="F10" s="41">
        <v>4</v>
      </c>
      <c r="G10" s="41">
        <v>3</v>
      </c>
      <c r="H10" s="41"/>
      <c r="I10" s="41"/>
      <c r="J10" s="27"/>
      <c r="K10" s="27">
        <v>3</v>
      </c>
      <c r="L10" s="41"/>
      <c r="M10" s="41"/>
      <c r="N10" s="50"/>
    </row>
    <row r="11" spans="1:14" ht="15">
      <c r="A11" s="94"/>
      <c r="B11" s="109"/>
      <c r="C11" s="99" t="s">
        <v>6</v>
      </c>
      <c r="D11" s="41" t="s">
        <v>16</v>
      </c>
      <c r="E11" s="33" t="s">
        <v>193</v>
      </c>
      <c r="F11" s="41">
        <v>4</v>
      </c>
      <c r="G11" s="41">
        <v>4</v>
      </c>
      <c r="H11" s="41">
        <v>4</v>
      </c>
      <c r="I11" s="41"/>
      <c r="J11" s="27"/>
      <c r="K11" s="27"/>
      <c r="L11" s="41"/>
      <c r="M11" s="41"/>
      <c r="N11" s="50"/>
    </row>
    <row r="12" spans="1:14" ht="15">
      <c r="A12" s="94"/>
      <c r="B12" s="109"/>
      <c r="C12" s="97"/>
      <c r="D12" s="41" t="s">
        <v>16</v>
      </c>
      <c r="E12" s="33" t="s">
        <v>194</v>
      </c>
      <c r="F12" s="41">
        <v>4</v>
      </c>
      <c r="G12" s="41">
        <v>4</v>
      </c>
      <c r="H12" s="41"/>
      <c r="I12" s="41">
        <v>4</v>
      </c>
      <c r="J12" s="27"/>
      <c r="K12" s="27"/>
      <c r="L12" s="41"/>
      <c r="M12" s="41"/>
      <c r="N12" s="50"/>
    </row>
    <row r="13" spans="1:14" ht="15">
      <c r="A13" s="94"/>
      <c r="B13" s="109"/>
      <c r="C13" s="97"/>
      <c r="D13" s="41" t="s">
        <v>145</v>
      </c>
      <c r="E13" s="33" t="s">
        <v>218</v>
      </c>
      <c r="F13" s="41">
        <v>4</v>
      </c>
      <c r="G13" s="41">
        <v>4</v>
      </c>
      <c r="H13" s="41"/>
      <c r="I13" s="41"/>
      <c r="J13" s="27">
        <v>4</v>
      </c>
      <c r="K13" s="27"/>
      <c r="L13" s="41"/>
      <c r="M13" s="41"/>
      <c r="N13" s="50"/>
    </row>
    <row r="14" spans="1:14" ht="15">
      <c r="A14" s="94"/>
      <c r="B14" s="109"/>
      <c r="C14" s="97"/>
      <c r="D14" s="41" t="s">
        <v>145</v>
      </c>
      <c r="E14" s="33" t="s">
        <v>219</v>
      </c>
      <c r="F14" s="41">
        <v>4</v>
      </c>
      <c r="G14" s="41">
        <v>4</v>
      </c>
      <c r="H14" s="41"/>
      <c r="I14" s="41"/>
      <c r="J14" s="27"/>
      <c r="K14" s="27">
        <v>4</v>
      </c>
      <c r="L14" s="41"/>
      <c r="M14" s="41"/>
      <c r="N14" s="50"/>
    </row>
    <row r="15" spans="1:14" ht="15">
      <c r="A15" s="94"/>
      <c r="B15" s="109"/>
      <c r="C15" s="97"/>
      <c r="D15" s="41" t="s">
        <v>145</v>
      </c>
      <c r="E15" s="41" t="s">
        <v>47</v>
      </c>
      <c r="F15" s="41">
        <v>5</v>
      </c>
      <c r="G15" s="41">
        <v>4</v>
      </c>
      <c r="H15" s="41"/>
      <c r="I15" s="41"/>
      <c r="J15" s="27"/>
      <c r="K15" s="27"/>
      <c r="L15" s="41"/>
      <c r="M15" s="41"/>
      <c r="N15" s="50"/>
    </row>
    <row r="16" spans="1:14" ht="15">
      <c r="A16" s="94"/>
      <c r="B16" s="109"/>
      <c r="C16" s="97"/>
      <c r="D16" s="41" t="s">
        <v>145</v>
      </c>
      <c r="E16" s="41" t="s">
        <v>50</v>
      </c>
      <c r="F16" s="41">
        <v>5</v>
      </c>
      <c r="G16" s="41">
        <v>4</v>
      </c>
      <c r="H16" s="41"/>
      <c r="I16" s="41"/>
      <c r="J16" s="27"/>
      <c r="K16" s="27"/>
      <c r="L16" s="41"/>
      <c r="M16" s="41"/>
      <c r="N16" s="50"/>
    </row>
    <row r="17" spans="1:14" ht="15">
      <c r="A17" s="94"/>
      <c r="B17" s="109"/>
      <c r="C17" s="97"/>
      <c r="D17" s="41" t="s">
        <v>30</v>
      </c>
      <c r="E17" s="41" t="s">
        <v>55</v>
      </c>
      <c r="F17" s="41">
        <v>5</v>
      </c>
      <c r="G17" s="41">
        <v>6</v>
      </c>
      <c r="H17" s="41"/>
      <c r="I17" s="41"/>
      <c r="J17" s="27"/>
      <c r="K17" s="27"/>
      <c r="L17" s="41">
        <v>3</v>
      </c>
      <c r="M17" s="41">
        <v>3</v>
      </c>
      <c r="N17" s="50"/>
    </row>
    <row r="18" spans="1:14" ht="15">
      <c r="A18" s="94"/>
      <c r="B18" s="109"/>
      <c r="C18" s="98"/>
      <c r="D18" s="41" t="s">
        <v>145</v>
      </c>
      <c r="E18" s="41" t="s">
        <v>53</v>
      </c>
      <c r="F18" s="41">
        <v>5</v>
      </c>
      <c r="G18" s="41">
        <v>6</v>
      </c>
      <c r="H18" s="41"/>
      <c r="I18" s="41"/>
      <c r="J18" s="27"/>
      <c r="K18" s="27"/>
      <c r="L18" s="41">
        <v>3</v>
      </c>
      <c r="M18" s="41">
        <v>3</v>
      </c>
      <c r="N18" s="50"/>
    </row>
    <row r="19" spans="1:14" ht="15">
      <c r="A19" s="94"/>
      <c r="B19" s="109"/>
      <c r="C19" s="147" t="s">
        <v>5</v>
      </c>
      <c r="D19" s="41" t="s">
        <v>16</v>
      </c>
      <c r="E19" s="33" t="s">
        <v>195</v>
      </c>
      <c r="F19" s="41">
        <v>4</v>
      </c>
      <c r="G19" s="41">
        <v>3</v>
      </c>
      <c r="H19" s="41">
        <v>3</v>
      </c>
      <c r="I19" s="41"/>
      <c r="J19" s="27"/>
      <c r="K19" s="27"/>
      <c r="L19" s="41"/>
      <c r="M19" s="41"/>
      <c r="N19" s="50"/>
    </row>
    <row r="20" spans="1:14" ht="15">
      <c r="A20" s="94"/>
      <c r="B20" s="109"/>
      <c r="C20" s="147"/>
      <c r="D20" s="41" t="s">
        <v>16</v>
      </c>
      <c r="E20" s="33" t="s">
        <v>196</v>
      </c>
      <c r="F20" s="41">
        <v>4</v>
      </c>
      <c r="G20" s="41">
        <v>3</v>
      </c>
      <c r="H20" s="41"/>
      <c r="I20" s="41">
        <v>3</v>
      </c>
      <c r="J20" s="27"/>
      <c r="K20" s="27"/>
      <c r="L20" s="41"/>
      <c r="M20" s="41"/>
      <c r="N20" s="50"/>
    </row>
    <row r="21" spans="1:14" ht="15">
      <c r="A21" s="94"/>
      <c r="B21" s="109"/>
      <c r="C21" s="147"/>
      <c r="D21" s="41" t="s">
        <v>145</v>
      </c>
      <c r="E21" s="33" t="s">
        <v>165</v>
      </c>
      <c r="F21" s="41">
        <v>5</v>
      </c>
      <c r="G21" s="41">
        <v>4</v>
      </c>
      <c r="H21" s="41"/>
      <c r="I21" s="41"/>
      <c r="J21" s="27"/>
      <c r="K21" s="27"/>
      <c r="L21" s="27"/>
      <c r="M21" s="27"/>
      <c r="N21" s="87"/>
    </row>
    <row r="22" spans="1:14" ht="15">
      <c r="A22" s="94"/>
      <c r="B22" s="109"/>
      <c r="C22" s="147"/>
      <c r="D22" s="41" t="s">
        <v>145</v>
      </c>
      <c r="E22" s="33" t="s">
        <v>220</v>
      </c>
      <c r="F22" s="41">
        <v>4</v>
      </c>
      <c r="G22" s="41">
        <v>3</v>
      </c>
      <c r="H22" s="41"/>
      <c r="I22" s="41"/>
      <c r="J22" s="27">
        <v>3</v>
      </c>
      <c r="K22" s="27"/>
      <c r="L22" s="76"/>
      <c r="M22" s="76"/>
      <c r="N22" s="50"/>
    </row>
    <row r="23" spans="1:14" ht="15">
      <c r="A23" s="94"/>
      <c r="B23" s="109"/>
      <c r="C23" s="147"/>
      <c r="D23" s="41" t="s">
        <v>145</v>
      </c>
      <c r="E23" s="41" t="s">
        <v>63</v>
      </c>
      <c r="F23" s="41">
        <v>5</v>
      </c>
      <c r="G23" s="41">
        <v>3</v>
      </c>
      <c r="H23" s="41"/>
      <c r="I23" s="41"/>
      <c r="J23" s="27"/>
      <c r="K23" s="27">
        <v>3</v>
      </c>
      <c r="L23" s="76"/>
      <c r="M23" s="76"/>
      <c r="N23" s="88"/>
    </row>
    <row r="24" spans="1:14" ht="15">
      <c r="A24" s="94"/>
      <c r="B24" s="109"/>
      <c r="C24" s="147"/>
      <c r="D24" s="41" t="s">
        <v>145</v>
      </c>
      <c r="E24" s="41" t="s">
        <v>210</v>
      </c>
      <c r="F24" s="41">
        <v>5</v>
      </c>
      <c r="G24" s="41">
        <v>3</v>
      </c>
      <c r="I24" s="41"/>
      <c r="J24" s="27"/>
      <c r="K24" s="27"/>
      <c r="L24" s="41">
        <v>3</v>
      </c>
      <c r="M24" s="41">
        <v>3</v>
      </c>
      <c r="N24" s="50"/>
    </row>
    <row r="25" spans="1:14" ht="15">
      <c r="A25" s="94"/>
      <c r="B25" s="109"/>
      <c r="C25" s="99" t="s">
        <v>18</v>
      </c>
      <c r="D25" s="41" t="s">
        <v>16</v>
      </c>
      <c r="E25" s="33" t="s">
        <v>197</v>
      </c>
      <c r="F25" s="41">
        <v>3</v>
      </c>
      <c r="G25" s="41">
        <v>3</v>
      </c>
      <c r="H25" s="41">
        <v>3</v>
      </c>
      <c r="I25" s="41"/>
      <c r="J25" s="27"/>
      <c r="K25" s="27"/>
      <c r="L25" s="41"/>
      <c r="M25" s="41"/>
      <c r="N25" s="50"/>
    </row>
    <row r="26" spans="1:14" ht="15">
      <c r="A26" s="94"/>
      <c r="B26" s="109"/>
      <c r="C26" s="98"/>
      <c r="D26" s="41" t="s">
        <v>16</v>
      </c>
      <c r="E26" s="33" t="s">
        <v>198</v>
      </c>
      <c r="F26" s="41">
        <v>3</v>
      </c>
      <c r="G26" s="41">
        <v>3</v>
      </c>
      <c r="H26" s="41"/>
      <c r="I26" s="41">
        <v>3</v>
      </c>
      <c r="J26" s="27"/>
      <c r="K26" s="27"/>
      <c r="L26" s="41"/>
      <c r="M26" s="41"/>
      <c r="N26" s="50"/>
    </row>
    <row r="27" spans="1:14" ht="15">
      <c r="A27" s="94"/>
      <c r="B27" s="152" t="s">
        <v>4</v>
      </c>
      <c r="C27" s="159" t="s">
        <v>141</v>
      </c>
      <c r="D27" s="41" t="s">
        <v>16</v>
      </c>
      <c r="E27" s="33" t="s">
        <v>199</v>
      </c>
      <c r="F27" s="41">
        <v>4</v>
      </c>
      <c r="G27" s="41">
        <v>3</v>
      </c>
      <c r="H27" s="41">
        <v>4</v>
      </c>
      <c r="I27" s="41"/>
      <c r="J27" s="27"/>
      <c r="K27" s="27"/>
      <c r="L27" s="41"/>
      <c r="M27" s="41"/>
      <c r="N27" s="50"/>
    </row>
    <row r="28" spans="1:14" ht="15">
      <c r="A28" s="94"/>
      <c r="B28" s="162"/>
      <c r="C28" s="160"/>
      <c r="D28" s="41" t="s">
        <v>16</v>
      </c>
      <c r="E28" s="33" t="s">
        <v>200</v>
      </c>
      <c r="F28" s="41">
        <v>4</v>
      </c>
      <c r="G28" s="41">
        <v>3</v>
      </c>
      <c r="H28" s="41"/>
      <c r="I28" s="41">
        <v>4</v>
      </c>
      <c r="J28" s="27"/>
      <c r="K28" s="27"/>
      <c r="L28" s="41"/>
      <c r="M28" s="41"/>
      <c r="N28" s="50"/>
    </row>
    <row r="29" spans="1:14" ht="15">
      <c r="A29" s="94"/>
      <c r="B29" s="162"/>
      <c r="C29" s="161"/>
      <c r="D29" s="41" t="s">
        <v>149</v>
      </c>
      <c r="E29" s="41" t="s">
        <v>74</v>
      </c>
      <c r="F29" s="41">
        <v>5</v>
      </c>
      <c r="G29" s="41">
        <v>4</v>
      </c>
      <c r="H29" s="41"/>
      <c r="I29" s="41"/>
      <c r="J29" s="27"/>
      <c r="K29" s="27"/>
      <c r="L29" s="41">
        <v>2</v>
      </c>
      <c r="M29" s="41">
        <v>2</v>
      </c>
      <c r="N29" s="50"/>
    </row>
    <row r="30" spans="1:14" ht="15">
      <c r="A30" s="94"/>
      <c r="B30" s="162"/>
      <c r="C30" s="158" t="s">
        <v>3</v>
      </c>
      <c r="D30" s="41" t="s">
        <v>16</v>
      </c>
      <c r="E30" s="33" t="s">
        <v>201</v>
      </c>
      <c r="F30" s="34">
        <v>4</v>
      </c>
      <c r="G30" s="35">
        <v>4</v>
      </c>
      <c r="H30" s="34">
        <v>4</v>
      </c>
      <c r="I30" s="34"/>
      <c r="J30" s="27"/>
      <c r="K30" s="27"/>
      <c r="L30" s="41"/>
      <c r="M30" s="41"/>
      <c r="N30" s="50"/>
    </row>
    <row r="31" spans="1:14" ht="15">
      <c r="A31" s="94"/>
      <c r="B31" s="162"/>
      <c r="C31" s="158"/>
      <c r="D31" s="41" t="s">
        <v>16</v>
      </c>
      <c r="E31" s="33" t="s">
        <v>202</v>
      </c>
      <c r="F31" s="34">
        <v>4</v>
      </c>
      <c r="G31" s="35">
        <v>4</v>
      </c>
      <c r="H31" s="34"/>
      <c r="I31" s="34">
        <v>4</v>
      </c>
      <c r="J31" s="27"/>
      <c r="K31" s="27"/>
      <c r="L31" s="41"/>
      <c r="M31" s="41"/>
      <c r="N31" s="50"/>
    </row>
    <row r="32" spans="1:14" ht="15">
      <c r="A32" s="94"/>
      <c r="B32" s="162"/>
      <c r="C32" s="158"/>
      <c r="D32" s="41" t="s">
        <v>16</v>
      </c>
      <c r="E32" s="33" t="s">
        <v>203</v>
      </c>
      <c r="F32" s="34">
        <v>1</v>
      </c>
      <c r="G32" s="35">
        <v>1</v>
      </c>
      <c r="H32" s="34">
        <v>1</v>
      </c>
      <c r="I32" s="34"/>
      <c r="J32" s="27"/>
      <c r="K32" s="27"/>
      <c r="L32" s="41"/>
      <c r="M32" s="41"/>
      <c r="N32" s="50"/>
    </row>
    <row r="33" spans="1:14" ht="15">
      <c r="A33" s="94"/>
      <c r="B33" s="149"/>
      <c r="C33" s="158"/>
      <c r="D33" s="41" t="s">
        <v>16</v>
      </c>
      <c r="E33" s="33" t="s">
        <v>204</v>
      </c>
      <c r="F33" s="34">
        <v>1</v>
      </c>
      <c r="G33" s="34">
        <v>1</v>
      </c>
      <c r="H33" s="34"/>
      <c r="I33" s="34">
        <v>1</v>
      </c>
      <c r="J33" s="27"/>
      <c r="K33" s="27"/>
      <c r="L33" s="41"/>
      <c r="M33" s="41"/>
      <c r="N33" s="50"/>
    </row>
    <row r="34" spans="1:14" ht="15">
      <c r="A34" s="94"/>
      <c r="B34" s="109" t="s">
        <v>15</v>
      </c>
      <c r="C34" s="147" t="s">
        <v>14</v>
      </c>
      <c r="D34" s="41" t="s">
        <v>145</v>
      </c>
      <c r="E34" s="33" t="s">
        <v>205</v>
      </c>
      <c r="F34" s="34">
        <v>3</v>
      </c>
      <c r="G34" s="34">
        <v>2</v>
      </c>
      <c r="H34" s="34">
        <v>2</v>
      </c>
      <c r="I34" s="34"/>
      <c r="J34" s="27"/>
      <c r="K34" s="27"/>
      <c r="L34" s="41"/>
      <c r="M34" s="41"/>
      <c r="N34" s="50"/>
    </row>
    <row r="35" spans="1:14" ht="15">
      <c r="A35" s="94"/>
      <c r="B35" s="109"/>
      <c r="C35" s="147"/>
      <c r="D35" s="41" t="s">
        <v>145</v>
      </c>
      <c r="E35" s="33" t="s">
        <v>206</v>
      </c>
      <c r="F35" s="34">
        <v>3</v>
      </c>
      <c r="G35" s="34">
        <v>2</v>
      </c>
      <c r="H35" s="34"/>
      <c r="I35" s="34">
        <v>2</v>
      </c>
      <c r="J35" s="27"/>
      <c r="K35" s="27"/>
      <c r="L35" s="41"/>
      <c r="M35" s="41"/>
      <c r="N35" s="50"/>
    </row>
    <row r="36" spans="1:14" ht="15">
      <c r="A36" s="94"/>
      <c r="B36" s="109"/>
      <c r="C36" s="147"/>
      <c r="D36" s="41" t="s">
        <v>145</v>
      </c>
      <c r="E36" s="41" t="s">
        <v>148</v>
      </c>
      <c r="F36" s="41">
        <v>5</v>
      </c>
      <c r="G36" s="41">
        <v>4</v>
      </c>
      <c r="H36" s="41"/>
      <c r="I36" s="41"/>
      <c r="J36" s="27">
        <v>2</v>
      </c>
      <c r="K36" s="27"/>
      <c r="L36" s="41"/>
      <c r="M36" s="41"/>
      <c r="N36" s="50"/>
    </row>
    <row r="37" spans="1:14" ht="15">
      <c r="A37" s="94"/>
      <c r="B37" s="109"/>
      <c r="C37" s="147"/>
      <c r="D37" s="41" t="s">
        <v>149</v>
      </c>
      <c r="E37" s="41" t="s">
        <v>221</v>
      </c>
      <c r="F37" s="41">
        <v>5</v>
      </c>
      <c r="G37" s="41">
        <v>4</v>
      </c>
      <c r="H37" s="41"/>
      <c r="I37" s="41"/>
      <c r="J37" s="27"/>
      <c r="K37" s="27">
        <v>2</v>
      </c>
      <c r="L37" s="41"/>
      <c r="M37" s="41"/>
      <c r="N37" s="50"/>
    </row>
    <row r="38" spans="1:14" ht="15">
      <c r="A38" s="94"/>
      <c r="B38" s="109"/>
      <c r="C38" s="147"/>
      <c r="D38" s="41" t="s">
        <v>149</v>
      </c>
      <c r="E38" s="41" t="s">
        <v>90</v>
      </c>
      <c r="F38" s="41">
        <v>5</v>
      </c>
      <c r="G38" s="41">
        <v>4</v>
      </c>
      <c r="H38" s="41"/>
      <c r="I38" s="41"/>
      <c r="J38" s="41"/>
      <c r="K38" s="41"/>
      <c r="L38" s="41">
        <v>2</v>
      </c>
      <c r="M38" s="41">
        <v>2</v>
      </c>
      <c r="N38" s="50"/>
    </row>
    <row r="39" spans="1:14" ht="15">
      <c r="A39" s="94"/>
      <c r="B39" s="109"/>
      <c r="C39" s="147"/>
      <c r="D39" s="41" t="s">
        <v>149</v>
      </c>
      <c r="E39" s="41" t="s">
        <v>188</v>
      </c>
      <c r="F39" s="41">
        <v>5</v>
      </c>
      <c r="G39" s="41">
        <v>4</v>
      </c>
      <c r="H39" s="41"/>
      <c r="I39" s="41"/>
      <c r="J39" s="41"/>
      <c r="K39" s="41"/>
      <c r="L39" s="41"/>
      <c r="M39" s="41"/>
      <c r="N39" s="50"/>
    </row>
    <row r="40" spans="1:14" ht="15">
      <c r="A40" s="94"/>
      <c r="B40" s="109"/>
      <c r="C40" s="147" t="s">
        <v>13</v>
      </c>
      <c r="D40" s="41" t="s">
        <v>145</v>
      </c>
      <c r="E40" s="41" t="s">
        <v>150</v>
      </c>
      <c r="F40" s="34">
        <v>3</v>
      </c>
      <c r="G40" s="34">
        <v>3</v>
      </c>
      <c r="H40" s="66" t="s">
        <v>257</v>
      </c>
      <c r="I40" s="66">
        <v>2</v>
      </c>
      <c r="J40" s="41"/>
      <c r="K40" s="41"/>
      <c r="L40" s="41"/>
      <c r="M40" s="41"/>
      <c r="N40" s="50"/>
    </row>
    <row r="41" spans="1:14" ht="15">
      <c r="A41" s="94"/>
      <c r="B41" s="109"/>
      <c r="C41" s="147"/>
      <c r="D41" s="41" t="s">
        <v>145</v>
      </c>
      <c r="E41" s="41" t="s">
        <v>151</v>
      </c>
      <c r="F41" s="34">
        <v>3</v>
      </c>
      <c r="G41" s="34">
        <v>3</v>
      </c>
      <c r="H41" s="66">
        <v>2</v>
      </c>
      <c r="I41" s="66" t="s">
        <v>257</v>
      </c>
      <c r="J41" s="41"/>
      <c r="K41" s="41"/>
      <c r="L41" s="41"/>
      <c r="M41" s="41"/>
      <c r="N41" s="50"/>
    </row>
    <row r="42" spans="1:14" ht="15">
      <c r="A42" s="94"/>
      <c r="B42" s="109"/>
      <c r="C42" s="147"/>
      <c r="D42" s="41" t="s">
        <v>149</v>
      </c>
      <c r="E42" s="41" t="s">
        <v>152</v>
      </c>
      <c r="F42" s="41">
        <v>5</v>
      </c>
      <c r="G42" s="41">
        <v>2</v>
      </c>
      <c r="H42" s="74"/>
      <c r="I42" s="74"/>
      <c r="J42" s="74" t="s">
        <v>222</v>
      </c>
      <c r="K42" s="74">
        <v>2</v>
      </c>
      <c r="L42" s="41"/>
      <c r="M42" s="41"/>
      <c r="N42" s="50"/>
    </row>
    <row r="43" spans="1:14" ht="15">
      <c r="A43" s="94"/>
      <c r="B43" s="109"/>
      <c r="C43" s="147"/>
      <c r="D43" s="41" t="s">
        <v>149</v>
      </c>
      <c r="E43" s="41" t="s">
        <v>153</v>
      </c>
      <c r="F43" s="41">
        <v>5</v>
      </c>
      <c r="G43" s="41">
        <v>2</v>
      </c>
      <c r="H43" s="74"/>
      <c r="I43" s="74"/>
      <c r="J43" s="74">
        <v>2</v>
      </c>
      <c r="K43" s="74" t="s">
        <v>222</v>
      </c>
      <c r="L43" s="41"/>
      <c r="M43" s="41"/>
      <c r="N43" s="50"/>
    </row>
    <row r="44" spans="1:14" ht="15">
      <c r="A44" s="94"/>
      <c r="B44" s="109" t="s">
        <v>138</v>
      </c>
      <c r="C44" s="154" t="s">
        <v>154</v>
      </c>
      <c r="D44" s="36" t="s">
        <v>145</v>
      </c>
      <c r="E44" s="33" t="s">
        <v>189</v>
      </c>
      <c r="F44" s="34">
        <v>4</v>
      </c>
      <c r="G44" s="34">
        <v>3</v>
      </c>
      <c r="H44" s="34">
        <v>3</v>
      </c>
      <c r="I44" s="34"/>
      <c r="J44" s="27"/>
      <c r="K44" s="27"/>
      <c r="L44" s="41"/>
      <c r="M44" s="41"/>
      <c r="N44" s="50"/>
    </row>
    <row r="45" spans="1:14" ht="15">
      <c r="A45" s="94"/>
      <c r="B45" s="109"/>
      <c r="C45" s="154"/>
      <c r="D45" s="36" t="s">
        <v>149</v>
      </c>
      <c r="E45" s="33" t="s">
        <v>114</v>
      </c>
      <c r="F45" s="34">
        <v>4</v>
      </c>
      <c r="G45" s="34">
        <v>3</v>
      </c>
      <c r="H45" s="34"/>
      <c r="I45" s="34">
        <v>3</v>
      </c>
      <c r="J45" s="27"/>
      <c r="K45" s="27"/>
      <c r="L45" s="41"/>
      <c r="M45" s="41"/>
      <c r="N45" s="50"/>
    </row>
    <row r="46" spans="1:14" ht="15">
      <c r="A46" s="94"/>
      <c r="B46" s="109"/>
      <c r="C46" s="154"/>
      <c r="D46" s="36" t="s">
        <v>209</v>
      </c>
      <c r="E46" s="33" t="s">
        <v>207</v>
      </c>
      <c r="F46" s="34">
        <v>4</v>
      </c>
      <c r="G46" s="34">
        <v>3</v>
      </c>
      <c r="H46" s="34"/>
      <c r="I46" s="34"/>
      <c r="J46" s="27"/>
      <c r="K46" s="27"/>
      <c r="L46" s="41"/>
      <c r="M46" s="41"/>
      <c r="N46" s="50"/>
    </row>
    <row r="47" spans="1:14" ht="15">
      <c r="A47" s="94"/>
      <c r="B47" s="109"/>
      <c r="C47" s="155"/>
      <c r="D47" s="41" t="s">
        <v>149</v>
      </c>
      <c r="E47" s="41" t="s">
        <v>156</v>
      </c>
      <c r="F47" s="41">
        <v>5</v>
      </c>
      <c r="G47" s="41">
        <v>2</v>
      </c>
      <c r="H47" s="41"/>
      <c r="I47" s="41"/>
      <c r="J47" s="27"/>
      <c r="K47" s="27"/>
      <c r="L47" s="41"/>
      <c r="M47" s="41"/>
      <c r="N47" s="50" t="s">
        <v>157</v>
      </c>
    </row>
    <row r="48" spans="1:14" ht="15">
      <c r="A48" s="94"/>
      <c r="B48" s="109"/>
      <c r="C48" s="154" t="s">
        <v>155</v>
      </c>
      <c r="D48" s="41" t="s">
        <v>145</v>
      </c>
      <c r="E48" s="41" t="s">
        <v>158</v>
      </c>
      <c r="F48" s="41">
        <v>5</v>
      </c>
      <c r="G48" s="41">
        <v>4</v>
      </c>
      <c r="H48" s="41"/>
      <c r="I48" s="41"/>
      <c r="J48" s="41"/>
      <c r="K48" s="41"/>
      <c r="L48" s="41">
        <v>2</v>
      </c>
      <c r="M48" s="41">
        <v>2</v>
      </c>
      <c r="N48" s="50"/>
    </row>
    <row r="49" spans="1:14" ht="15">
      <c r="A49" s="94"/>
      <c r="B49" s="152"/>
      <c r="C49" s="156"/>
      <c r="D49" s="56" t="s">
        <v>145</v>
      </c>
      <c r="E49" s="56" t="s">
        <v>137</v>
      </c>
      <c r="F49" s="56">
        <v>5</v>
      </c>
      <c r="G49" s="56">
        <v>4</v>
      </c>
      <c r="H49" s="56"/>
      <c r="I49" s="56"/>
      <c r="J49" s="56"/>
      <c r="K49" s="56"/>
      <c r="L49" s="56">
        <v>2</v>
      </c>
      <c r="M49" s="56">
        <v>2</v>
      </c>
      <c r="N49" s="57"/>
    </row>
    <row r="50" spans="1:14" ht="15.45" thickBot="1">
      <c r="A50" s="95"/>
      <c r="B50" s="153"/>
      <c r="C50" s="157"/>
      <c r="D50" s="21" t="s">
        <v>145</v>
      </c>
      <c r="E50" s="21" t="s">
        <v>159</v>
      </c>
      <c r="F50" s="21">
        <v>5</v>
      </c>
      <c r="G50" s="21">
        <v>2</v>
      </c>
      <c r="H50" s="21"/>
      <c r="I50" s="21"/>
      <c r="J50" s="21"/>
      <c r="K50" s="21"/>
      <c r="L50" s="21"/>
      <c r="M50" s="21"/>
      <c r="N50" s="51"/>
    </row>
    <row r="51" spans="1:14" ht="15">
      <c r="A51" s="93" t="s">
        <v>12</v>
      </c>
      <c r="B51" s="105" t="s">
        <v>8</v>
      </c>
      <c r="C51" s="77" t="s">
        <v>32</v>
      </c>
      <c r="D51" s="78" t="s">
        <v>149</v>
      </c>
      <c r="E51" s="79" t="s">
        <v>223</v>
      </c>
      <c r="F51" s="80">
        <f t="shared" ref="F51:F60" si="0">IFERROR(VLOOKUP(E51, 기본학점, 2, FALSE), "")</f>
        <v>4</v>
      </c>
      <c r="G51" s="80">
        <v>3</v>
      </c>
      <c r="H51" s="18"/>
      <c r="I51" s="18"/>
      <c r="J51" s="190" t="s">
        <v>252</v>
      </c>
      <c r="K51" s="18"/>
      <c r="L51" s="18"/>
      <c r="M51" s="18"/>
      <c r="N51" s="49"/>
    </row>
    <row r="52" spans="1:14" ht="15">
      <c r="A52" s="94"/>
      <c r="B52" s="106"/>
      <c r="C52" s="111" t="s">
        <v>36</v>
      </c>
      <c r="D52" s="36" t="s">
        <v>149</v>
      </c>
      <c r="E52" s="73" t="s">
        <v>160</v>
      </c>
      <c r="F52" s="66">
        <f t="shared" si="0"/>
        <v>4</v>
      </c>
      <c r="G52" s="66">
        <v>3</v>
      </c>
      <c r="H52" s="41"/>
      <c r="I52" s="41"/>
      <c r="J52" s="154"/>
      <c r="K52" s="41"/>
      <c r="L52" s="41"/>
      <c r="M52" s="41"/>
      <c r="N52" s="50"/>
    </row>
    <row r="53" spans="1:14" ht="15">
      <c r="A53" s="94"/>
      <c r="B53" s="106"/>
      <c r="C53" s="112"/>
      <c r="D53" s="36" t="s">
        <v>149</v>
      </c>
      <c r="E53" s="73" t="s">
        <v>224</v>
      </c>
      <c r="F53" s="66">
        <f>IFERROR(VLOOKUP(E53, 기본학점, 2, FALSE), "")</f>
        <v>4</v>
      </c>
      <c r="G53" s="66">
        <v>3</v>
      </c>
      <c r="H53" s="41"/>
      <c r="I53" s="41"/>
      <c r="J53" s="154"/>
      <c r="K53" s="41"/>
      <c r="L53" s="41"/>
      <c r="M53" s="41"/>
      <c r="N53" s="50"/>
    </row>
    <row r="54" spans="1:14" ht="15">
      <c r="A54" s="94"/>
      <c r="B54" s="107"/>
      <c r="C54" s="55" t="s">
        <v>40</v>
      </c>
      <c r="D54" s="36" t="s">
        <v>209</v>
      </c>
      <c r="E54" s="73" t="s">
        <v>225</v>
      </c>
      <c r="F54" s="66">
        <f>IFERROR(VLOOKUP(E54, 기본학점, 2, FALSE), "")</f>
        <v>4</v>
      </c>
      <c r="G54" s="66">
        <v>3</v>
      </c>
      <c r="H54" s="41"/>
      <c r="I54" s="41"/>
      <c r="J54" s="154"/>
      <c r="K54" s="41"/>
      <c r="L54" s="41"/>
      <c r="M54" s="41"/>
      <c r="N54" s="50"/>
    </row>
    <row r="55" spans="1:14" ht="15">
      <c r="A55" s="94"/>
      <c r="B55" s="108" t="s">
        <v>4</v>
      </c>
      <c r="C55" s="113" t="s">
        <v>141</v>
      </c>
      <c r="D55" s="36" t="s">
        <v>145</v>
      </c>
      <c r="E55" s="73" t="s">
        <v>226</v>
      </c>
      <c r="F55" s="66">
        <f t="shared" si="0"/>
        <v>4</v>
      </c>
      <c r="G55" s="66">
        <v>3</v>
      </c>
      <c r="H55" s="41"/>
      <c r="I55" s="41"/>
      <c r="J55" s="154"/>
      <c r="K55" s="41"/>
      <c r="L55" s="41"/>
      <c r="M55" s="41"/>
      <c r="N55" s="50"/>
    </row>
    <row r="56" spans="1:14" ht="15">
      <c r="A56" s="94"/>
      <c r="B56" s="106"/>
      <c r="C56" s="114"/>
      <c r="D56" s="36" t="s">
        <v>145</v>
      </c>
      <c r="E56" s="73" t="s">
        <v>227</v>
      </c>
      <c r="F56" s="66">
        <f>IFERROR(VLOOKUP(E56, 기본학점, 2, FALSE), "")</f>
        <v>4</v>
      </c>
      <c r="G56" s="66">
        <v>3</v>
      </c>
      <c r="H56" s="41"/>
      <c r="I56" s="41"/>
      <c r="J56" s="154"/>
      <c r="K56" s="41"/>
      <c r="L56" s="41"/>
      <c r="M56" s="41"/>
      <c r="N56" s="50"/>
    </row>
    <row r="57" spans="1:14" ht="15">
      <c r="A57" s="94"/>
      <c r="B57" s="106"/>
      <c r="C57" s="114"/>
      <c r="D57" s="36" t="s">
        <v>149</v>
      </c>
      <c r="E57" s="73" t="s">
        <v>228</v>
      </c>
      <c r="F57" s="66">
        <f>IFERROR(VLOOKUP(E57, 기본학점, 2, FALSE), "")</f>
        <v>4</v>
      </c>
      <c r="G57" s="66">
        <v>3</v>
      </c>
      <c r="H57" s="41"/>
      <c r="I57" s="41"/>
      <c r="J57" s="154"/>
      <c r="K57" s="41"/>
      <c r="L57" s="41"/>
      <c r="M57" s="41"/>
      <c r="N57" s="50"/>
    </row>
    <row r="58" spans="1:14" ht="15">
      <c r="A58" s="94"/>
      <c r="B58" s="106"/>
      <c r="C58" s="112"/>
      <c r="D58" s="36" t="s">
        <v>149</v>
      </c>
      <c r="E58" s="73" t="s">
        <v>229</v>
      </c>
      <c r="F58" s="66">
        <f t="shared" si="0"/>
        <v>4</v>
      </c>
      <c r="G58" s="66">
        <v>3</v>
      </c>
      <c r="H58" s="41"/>
      <c r="I58" s="41"/>
      <c r="J58" s="154"/>
      <c r="K58" s="41"/>
      <c r="L58" s="41"/>
      <c r="M58" s="41"/>
      <c r="N58" s="50"/>
    </row>
    <row r="59" spans="1:14" ht="15">
      <c r="A59" s="94"/>
      <c r="B59" s="106"/>
      <c r="C59" s="115" t="s">
        <v>254</v>
      </c>
      <c r="D59" s="36" t="s">
        <v>145</v>
      </c>
      <c r="E59" s="73" t="s">
        <v>230</v>
      </c>
      <c r="F59" s="66">
        <f t="shared" si="0"/>
        <v>4</v>
      </c>
      <c r="G59" s="66">
        <v>3</v>
      </c>
      <c r="H59" s="41"/>
      <c r="I59" s="41"/>
      <c r="J59" s="154"/>
      <c r="K59" s="41"/>
      <c r="L59" s="41"/>
      <c r="M59" s="41"/>
      <c r="N59" s="50"/>
    </row>
    <row r="60" spans="1:14" ht="15">
      <c r="A60" s="94"/>
      <c r="B60" s="106"/>
      <c r="C60" s="116"/>
      <c r="D60" s="36" t="s">
        <v>145</v>
      </c>
      <c r="E60" s="73" t="s">
        <v>231</v>
      </c>
      <c r="F60" s="66">
        <f t="shared" si="0"/>
        <v>4</v>
      </c>
      <c r="G60" s="66">
        <v>3</v>
      </c>
      <c r="H60" s="41"/>
      <c r="I60" s="41"/>
      <c r="J60" s="154"/>
      <c r="K60" s="41"/>
      <c r="L60" s="41"/>
      <c r="M60" s="41"/>
      <c r="N60" s="50"/>
    </row>
    <row r="61" spans="1:14" ht="15">
      <c r="A61" s="94"/>
      <c r="B61" s="106"/>
      <c r="C61" s="116"/>
      <c r="D61" s="36" t="s">
        <v>145</v>
      </c>
      <c r="E61" s="73" t="s">
        <v>232</v>
      </c>
      <c r="F61" s="66">
        <f>IFERROR(VLOOKUP(E61, 기본학점, 2, FALSE), "")</f>
        <v>4</v>
      </c>
      <c r="G61" s="66">
        <v>3</v>
      </c>
      <c r="H61" s="41"/>
      <c r="I61" s="41"/>
      <c r="J61" s="154"/>
      <c r="K61" s="41"/>
      <c r="L61" s="41"/>
      <c r="M61" s="41"/>
      <c r="N61" s="50"/>
    </row>
    <row r="62" spans="1:14" ht="15">
      <c r="A62" s="94"/>
      <c r="B62" s="107"/>
      <c r="C62" s="117"/>
      <c r="D62" s="36" t="s">
        <v>145</v>
      </c>
      <c r="E62" s="73" t="s">
        <v>233</v>
      </c>
      <c r="F62" s="66">
        <f>IFERROR(VLOOKUP(E62, 기본학점, 2, FALSE), "")</f>
        <v>4</v>
      </c>
      <c r="G62" s="66">
        <v>3</v>
      </c>
      <c r="H62" s="41"/>
      <c r="I62" s="41"/>
      <c r="J62" s="154"/>
      <c r="K62" s="41"/>
      <c r="L62" s="41"/>
      <c r="M62" s="41"/>
      <c r="N62" s="50"/>
    </row>
    <row r="63" spans="1:14" ht="15">
      <c r="A63" s="94"/>
      <c r="B63" s="100" t="s">
        <v>139</v>
      </c>
      <c r="C63" s="89" t="s">
        <v>255</v>
      </c>
      <c r="D63" s="36" t="s">
        <v>149</v>
      </c>
      <c r="E63" s="73" t="s">
        <v>234</v>
      </c>
      <c r="F63" s="66">
        <f>IFERROR(VLOOKUP(E63, 기본학점, 2, FALSE), "")</f>
        <v>4</v>
      </c>
      <c r="G63" s="66">
        <v>3</v>
      </c>
      <c r="H63" s="41"/>
      <c r="I63" s="41"/>
      <c r="J63" s="154"/>
      <c r="K63" s="41"/>
      <c r="L63" s="41"/>
      <c r="M63" s="41"/>
      <c r="N63" s="50"/>
    </row>
    <row r="64" spans="1:14" ht="15">
      <c r="A64" s="94"/>
      <c r="B64" s="103"/>
      <c r="C64" s="118" t="s">
        <v>10</v>
      </c>
      <c r="D64" s="36" t="s">
        <v>145</v>
      </c>
      <c r="E64" s="73" t="s">
        <v>235</v>
      </c>
      <c r="F64" s="66">
        <f t="shared" ref="F64" si="1">IFERROR(VLOOKUP(E64, 기본학점, 2, FALSE), "")</f>
        <v>4</v>
      </c>
      <c r="G64" s="66">
        <v>3</v>
      </c>
      <c r="H64" s="41"/>
      <c r="I64" s="41"/>
      <c r="J64" s="194" t="s">
        <v>215</v>
      </c>
      <c r="K64" s="41"/>
      <c r="L64" s="41"/>
      <c r="M64" s="41"/>
      <c r="N64" s="50"/>
    </row>
    <row r="65" spans="1:14" ht="15">
      <c r="A65" s="94"/>
      <c r="B65" s="103"/>
      <c r="C65" s="119"/>
      <c r="D65" s="36" t="s">
        <v>145</v>
      </c>
      <c r="E65" s="73" t="s">
        <v>236</v>
      </c>
      <c r="F65" s="66">
        <f>IFERROR(VLOOKUP(E65, 기본학점, 2, FALSE), "")</f>
        <v>4</v>
      </c>
      <c r="G65" s="66">
        <v>3</v>
      </c>
      <c r="H65" s="41"/>
      <c r="I65" s="41"/>
      <c r="J65" s="195"/>
      <c r="K65" s="41"/>
      <c r="L65" s="41"/>
      <c r="M65" s="41"/>
      <c r="N65" s="50"/>
    </row>
    <row r="66" spans="1:14" ht="15">
      <c r="A66" s="94"/>
      <c r="B66" s="104"/>
      <c r="C66" s="120"/>
      <c r="D66" s="36" t="s">
        <v>145</v>
      </c>
      <c r="E66" s="73" t="s">
        <v>237</v>
      </c>
      <c r="F66" s="66">
        <f>IFERROR(VLOOKUP(E66, 기본학점, 2, FALSE), "")</f>
        <v>4</v>
      </c>
      <c r="G66" s="66">
        <v>3</v>
      </c>
      <c r="H66" s="41"/>
      <c r="I66" s="41"/>
      <c r="J66" s="195"/>
      <c r="K66" s="41"/>
      <c r="L66" s="41"/>
      <c r="M66" s="41"/>
      <c r="N66" s="50"/>
    </row>
    <row r="67" spans="1:14" ht="15">
      <c r="A67" s="94"/>
      <c r="B67" s="109" t="s">
        <v>11</v>
      </c>
      <c r="C67" s="55" t="s">
        <v>7</v>
      </c>
      <c r="D67" s="36" t="s">
        <v>209</v>
      </c>
      <c r="E67" s="73" t="s">
        <v>238</v>
      </c>
      <c r="F67" s="66">
        <f t="shared" ref="F67" si="2">IFERROR(VLOOKUP(E67, 기본학점, 2, FALSE), "")</f>
        <v>4</v>
      </c>
      <c r="G67" s="66">
        <v>3</v>
      </c>
      <c r="H67" s="41"/>
      <c r="I67" s="41"/>
      <c r="J67" s="196"/>
      <c r="K67" s="194" t="s">
        <v>252</v>
      </c>
      <c r="L67" s="41"/>
      <c r="M67" s="41"/>
      <c r="N67" s="50"/>
    </row>
    <row r="68" spans="1:14" ht="15.65" customHeight="1">
      <c r="A68" s="94"/>
      <c r="B68" s="109"/>
      <c r="C68" s="43" t="s">
        <v>256</v>
      </c>
      <c r="D68" s="67" t="s">
        <v>149</v>
      </c>
      <c r="E68" s="68" t="s">
        <v>239</v>
      </c>
      <c r="F68" s="69">
        <f t="shared" ref="F68:F79" si="3">IFERROR(VLOOKUP(E68, 기본학점, 2, FALSE), "")</f>
        <v>4</v>
      </c>
      <c r="G68" s="71">
        <v>3</v>
      </c>
      <c r="H68" s="75"/>
      <c r="I68" s="74"/>
      <c r="J68" s="75"/>
      <c r="K68" s="198"/>
      <c r="L68" s="43"/>
      <c r="M68" s="43"/>
      <c r="N68" s="72"/>
    </row>
    <row r="69" spans="1:14" ht="15">
      <c r="A69" s="94"/>
      <c r="B69" s="109"/>
      <c r="C69" s="40" t="s">
        <v>5</v>
      </c>
      <c r="D69" s="65" t="s">
        <v>149</v>
      </c>
      <c r="E69" s="61" t="s">
        <v>240</v>
      </c>
      <c r="F69" s="62">
        <f t="shared" si="3"/>
        <v>4</v>
      </c>
      <c r="G69" s="63">
        <v>3</v>
      </c>
      <c r="H69" s="75"/>
      <c r="I69" s="74"/>
      <c r="J69" s="75"/>
      <c r="K69" s="198"/>
      <c r="L69" s="40"/>
      <c r="M69" s="40"/>
      <c r="N69" s="52"/>
    </row>
    <row r="70" spans="1:14" ht="15">
      <c r="A70" s="94"/>
      <c r="B70" s="110" t="s">
        <v>4</v>
      </c>
      <c r="C70" s="121" t="s">
        <v>141</v>
      </c>
      <c r="D70" s="36" t="s">
        <v>145</v>
      </c>
      <c r="E70" s="73" t="s">
        <v>161</v>
      </c>
      <c r="F70" s="66">
        <f t="shared" si="3"/>
        <v>4</v>
      </c>
      <c r="G70" s="66">
        <v>3</v>
      </c>
      <c r="H70" s="75"/>
      <c r="I70" s="74"/>
      <c r="J70" s="75"/>
      <c r="K70" s="198"/>
      <c r="L70" s="40"/>
      <c r="M70" s="40"/>
      <c r="N70" s="52"/>
    </row>
    <row r="71" spans="1:14" ht="15">
      <c r="A71" s="94"/>
      <c r="B71" s="110"/>
      <c r="C71" s="97"/>
      <c r="D71" s="36" t="s">
        <v>145</v>
      </c>
      <c r="E71" s="73" t="s">
        <v>241</v>
      </c>
      <c r="F71" s="66">
        <f>IFERROR(VLOOKUP(E71, 기본학점, 2, FALSE), "")</f>
        <v>4</v>
      </c>
      <c r="G71" s="66">
        <v>3</v>
      </c>
      <c r="H71" s="75"/>
      <c r="I71" s="74"/>
      <c r="J71" s="75"/>
      <c r="K71" s="198"/>
      <c r="L71" s="40"/>
      <c r="M71" s="40"/>
      <c r="N71" s="52"/>
    </row>
    <row r="72" spans="1:14" ht="15.65" customHeight="1">
      <c r="A72" s="94"/>
      <c r="B72" s="110"/>
      <c r="C72" s="97"/>
      <c r="D72" s="36" t="s">
        <v>149</v>
      </c>
      <c r="E72" s="73" t="s">
        <v>242</v>
      </c>
      <c r="F72" s="66">
        <f>IFERROR(VLOOKUP(E72, 기본학점, 2, FALSE), "")</f>
        <v>4</v>
      </c>
      <c r="G72" s="66">
        <v>3</v>
      </c>
      <c r="H72" s="75"/>
      <c r="I72" s="74"/>
      <c r="J72" s="75"/>
      <c r="K72" s="198"/>
      <c r="L72" s="40"/>
      <c r="M72" s="40"/>
      <c r="N72" s="52"/>
    </row>
    <row r="73" spans="1:14" ht="15">
      <c r="A73" s="94"/>
      <c r="B73" s="110"/>
      <c r="C73" s="98"/>
      <c r="D73" s="36" t="s">
        <v>149</v>
      </c>
      <c r="E73" s="73" t="s">
        <v>162</v>
      </c>
      <c r="F73" s="66">
        <f t="shared" si="3"/>
        <v>4</v>
      </c>
      <c r="G73" s="66">
        <v>3</v>
      </c>
      <c r="H73" s="75"/>
      <c r="I73" s="74"/>
      <c r="J73" s="75"/>
      <c r="K73" s="198"/>
      <c r="L73" s="40"/>
      <c r="M73" s="40"/>
      <c r="N73" s="52"/>
    </row>
    <row r="74" spans="1:14" ht="15">
      <c r="A74" s="94"/>
      <c r="B74" s="110"/>
      <c r="C74" s="121" t="s">
        <v>3</v>
      </c>
      <c r="D74" s="36" t="s">
        <v>149</v>
      </c>
      <c r="E74" s="73" t="s">
        <v>243</v>
      </c>
      <c r="F74" s="66">
        <f t="shared" si="3"/>
        <v>4</v>
      </c>
      <c r="G74" s="66">
        <v>3</v>
      </c>
      <c r="H74" s="75"/>
      <c r="I74" s="74"/>
      <c r="J74" s="75"/>
      <c r="K74" s="198"/>
      <c r="L74" s="40"/>
      <c r="M74" s="40"/>
      <c r="N74" s="52"/>
    </row>
    <row r="75" spans="1:14" ht="15">
      <c r="A75" s="94"/>
      <c r="B75" s="110"/>
      <c r="C75" s="122"/>
      <c r="D75" s="36" t="s">
        <v>149</v>
      </c>
      <c r="E75" s="73" t="s">
        <v>244</v>
      </c>
      <c r="F75" s="66">
        <f t="shared" si="3"/>
        <v>4</v>
      </c>
      <c r="G75" s="66">
        <v>3</v>
      </c>
      <c r="H75" s="75"/>
      <c r="I75" s="74"/>
      <c r="J75" s="75"/>
      <c r="K75" s="198"/>
      <c r="L75" s="40"/>
      <c r="M75" s="40"/>
      <c r="N75" s="52"/>
    </row>
    <row r="76" spans="1:14" ht="15">
      <c r="A76" s="94"/>
      <c r="B76" s="110"/>
      <c r="C76" s="122"/>
      <c r="D76" s="36" t="s">
        <v>149</v>
      </c>
      <c r="E76" s="73" t="s">
        <v>245</v>
      </c>
      <c r="F76" s="66">
        <f>IFERROR(VLOOKUP(E76, 기본학점, 2, FALSE), "")</f>
        <v>4</v>
      </c>
      <c r="G76" s="66">
        <v>3</v>
      </c>
      <c r="H76" s="75"/>
      <c r="I76" s="74"/>
      <c r="J76" s="75"/>
      <c r="K76" s="198"/>
      <c r="L76" s="40"/>
      <c r="M76" s="40"/>
      <c r="N76" s="52"/>
    </row>
    <row r="77" spans="1:14" ht="15">
      <c r="A77" s="94"/>
      <c r="B77" s="110"/>
      <c r="C77" s="122"/>
      <c r="D77" s="36" t="s">
        <v>149</v>
      </c>
      <c r="E77" s="73" t="s">
        <v>246</v>
      </c>
      <c r="F77" s="66">
        <f>IFERROR(VLOOKUP(E77, 기본학점, 2, FALSE), "")</f>
        <v>4</v>
      </c>
      <c r="G77" s="66">
        <v>3</v>
      </c>
      <c r="H77" s="75"/>
      <c r="I77" s="74"/>
      <c r="J77" s="75"/>
      <c r="K77" s="198"/>
      <c r="L77" s="20"/>
      <c r="M77" s="20"/>
      <c r="N77" s="52"/>
    </row>
    <row r="78" spans="1:14" ht="15">
      <c r="A78" s="94"/>
      <c r="B78" s="110"/>
      <c r="C78" s="122"/>
      <c r="D78" s="36" t="s">
        <v>149</v>
      </c>
      <c r="E78" s="73" t="s">
        <v>247</v>
      </c>
      <c r="F78" s="66">
        <v>4</v>
      </c>
      <c r="G78" s="66">
        <v>3</v>
      </c>
      <c r="H78" s="75"/>
      <c r="I78" s="39"/>
      <c r="J78" s="75"/>
      <c r="K78" s="198"/>
      <c r="L78" s="20"/>
      <c r="M78" s="20"/>
      <c r="N78" s="52" t="s">
        <v>253</v>
      </c>
    </row>
    <row r="79" spans="1:14" ht="20.399999999999999" customHeight="1">
      <c r="A79" s="94"/>
      <c r="B79" s="100" t="s">
        <v>139</v>
      </c>
      <c r="C79" s="90" t="s">
        <v>255</v>
      </c>
      <c r="D79" s="36" t="s">
        <v>149</v>
      </c>
      <c r="E79" s="73" t="s">
        <v>248</v>
      </c>
      <c r="F79" s="66">
        <f t="shared" si="3"/>
        <v>4</v>
      </c>
      <c r="G79" s="66">
        <v>3</v>
      </c>
      <c r="H79" s="75"/>
      <c r="I79" s="74"/>
      <c r="J79" s="75"/>
      <c r="K79" s="199"/>
      <c r="L79" s="40"/>
      <c r="M79" s="40"/>
      <c r="N79" s="52"/>
    </row>
    <row r="80" spans="1:14" ht="15.65" customHeight="1">
      <c r="A80" s="94"/>
      <c r="B80" s="101"/>
      <c r="C80" s="123" t="s">
        <v>10</v>
      </c>
      <c r="D80" s="36" t="s">
        <v>209</v>
      </c>
      <c r="E80" s="73" t="s">
        <v>249</v>
      </c>
      <c r="F80" s="66">
        <f t="shared" ref="F80" si="4">IFERROR(VLOOKUP(E80, 기본학점, 2, FALSE), "")</f>
        <v>4</v>
      </c>
      <c r="G80" s="66">
        <v>3</v>
      </c>
      <c r="H80" s="75"/>
      <c r="I80" s="38"/>
      <c r="J80" s="75"/>
      <c r="K80" s="197" t="s">
        <v>215</v>
      </c>
      <c r="L80" s="42"/>
      <c r="M80" s="42"/>
      <c r="N80" s="53"/>
    </row>
    <row r="81" spans="1:14" ht="15.65" customHeight="1">
      <c r="A81" s="94"/>
      <c r="B81" s="101"/>
      <c r="C81" s="123"/>
      <c r="D81" s="36" t="s">
        <v>209</v>
      </c>
      <c r="E81" s="73" t="s">
        <v>250</v>
      </c>
      <c r="F81" s="69">
        <f>IFERROR(VLOOKUP(E81, 기본학점, 2, FALSE), "")</f>
        <v>4</v>
      </c>
      <c r="G81" s="71">
        <v>3</v>
      </c>
      <c r="H81" s="37"/>
      <c r="I81" s="74"/>
      <c r="J81" s="75"/>
      <c r="K81" s="123"/>
      <c r="L81" s="42"/>
      <c r="M81" s="42"/>
      <c r="N81" s="53"/>
    </row>
    <row r="82" spans="1:14" ht="15.65" customHeight="1" thickBot="1">
      <c r="A82" s="95"/>
      <c r="B82" s="102"/>
      <c r="C82" s="124"/>
      <c r="D82" s="91" t="s">
        <v>209</v>
      </c>
      <c r="E82" s="92" t="s">
        <v>251</v>
      </c>
      <c r="F82" s="64">
        <f>IFERROR(VLOOKUP(E82, 기본학점, 2, FALSE), "")</f>
        <v>4</v>
      </c>
      <c r="G82" s="70">
        <v>3</v>
      </c>
      <c r="H82" s="81"/>
      <c r="I82" s="82"/>
      <c r="J82" s="82"/>
      <c r="K82" s="124"/>
      <c r="L82" s="23"/>
      <c r="M82" s="23"/>
      <c r="N82" s="54"/>
    </row>
    <row r="83" spans="1:14" ht="15">
      <c r="A83" s="93" t="s">
        <v>9</v>
      </c>
      <c r="B83" s="148" t="s">
        <v>8</v>
      </c>
      <c r="C83" s="96" t="s">
        <v>32</v>
      </c>
      <c r="D83" s="18"/>
      <c r="E83" s="18" t="s">
        <v>186</v>
      </c>
      <c r="F83" s="18">
        <v>5</v>
      </c>
      <c r="G83" s="18">
        <v>6</v>
      </c>
      <c r="H83" s="18"/>
      <c r="I83" s="18"/>
      <c r="J83" s="18"/>
      <c r="K83" s="18"/>
      <c r="L83" s="146" t="s">
        <v>215</v>
      </c>
      <c r="M83" s="146" t="s">
        <v>215</v>
      </c>
      <c r="N83" s="49"/>
    </row>
    <row r="84" spans="1:14" ht="15">
      <c r="A84" s="94"/>
      <c r="B84" s="149"/>
      <c r="C84" s="97"/>
      <c r="E84" s="41" t="s">
        <v>163</v>
      </c>
      <c r="F84" s="41">
        <v>5</v>
      </c>
      <c r="G84" s="41">
        <v>6</v>
      </c>
      <c r="H84" s="41"/>
      <c r="I84" s="25"/>
      <c r="J84" s="25"/>
      <c r="K84" s="25"/>
      <c r="L84" s="147"/>
      <c r="M84" s="147"/>
      <c r="N84" s="50"/>
    </row>
    <row r="85" spans="1:14" ht="15">
      <c r="A85" s="94"/>
      <c r="B85" s="149"/>
      <c r="C85" s="98"/>
      <c r="D85" s="41"/>
      <c r="E85" s="41" t="s">
        <v>164</v>
      </c>
      <c r="F85" s="41">
        <v>5</v>
      </c>
      <c r="G85" s="41">
        <v>6</v>
      </c>
      <c r="H85" s="41"/>
      <c r="I85" s="25"/>
      <c r="J85" s="25"/>
      <c r="K85" s="25"/>
      <c r="L85" s="147"/>
      <c r="M85" s="147"/>
      <c r="N85" s="50"/>
    </row>
    <row r="86" spans="1:14" ht="15">
      <c r="A86" s="94"/>
      <c r="B86" s="109"/>
      <c r="C86" s="40" t="s">
        <v>187</v>
      </c>
      <c r="D86" s="41"/>
      <c r="E86" s="41" t="s">
        <v>214</v>
      </c>
      <c r="F86" s="41">
        <v>5</v>
      </c>
      <c r="G86" s="41">
        <v>6</v>
      </c>
      <c r="H86" s="41"/>
      <c r="I86" s="41"/>
      <c r="J86" s="41"/>
      <c r="K86" s="41"/>
      <c r="L86" s="147"/>
      <c r="M86" s="147"/>
      <c r="N86" s="50"/>
    </row>
    <row r="87" spans="1:14" ht="15">
      <c r="A87" s="94"/>
      <c r="B87" s="109"/>
      <c r="C87" s="99" t="s">
        <v>40</v>
      </c>
      <c r="D87" s="41"/>
      <c r="E87" s="41" t="s">
        <v>165</v>
      </c>
      <c r="F87" s="41">
        <v>5</v>
      </c>
      <c r="G87" s="41">
        <v>6</v>
      </c>
      <c r="H87" s="41"/>
      <c r="I87" s="41"/>
      <c r="J87" s="41"/>
      <c r="K87" s="41"/>
      <c r="L87" s="147"/>
      <c r="M87" s="147"/>
      <c r="N87" s="50"/>
    </row>
    <row r="88" spans="1:14" ht="15">
      <c r="A88" s="94"/>
      <c r="B88" s="109"/>
      <c r="C88" s="98"/>
      <c r="D88" s="41"/>
      <c r="E88" s="41" t="s">
        <v>166</v>
      </c>
      <c r="F88" s="41">
        <v>5</v>
      </c>
      <c r="G88" s="41">
        <v>6</v>
      </c>
      <c r="H88" s="41"/>
      <c r="I88" s="41"/>
      <c r="J88" s="41"/>
      <c r="K88" s="41"/>
      <c r="L88" s="147"/>
      <c r="M88" s="147"/>
      <c r="N88" s="50" t="s">
        <v>181</v>
      </c>
    </row>
    <row r="89" spans="1:14" ht="15">
      <c r="A89" s="94"/>
      <c r="B89" s="109"/>
      <c r="C89" s="99" t="s">
        <v>36</v>
      </c>
      <c r="D89" s="41"/>
      <c r="E89" s="41" t="s">
        <v>185</v>
      </c>
      <c r="F89" s="41">
        <v>5</v>
      </c>
      <c r="G89" s="41">
        <v>6</v>
      </c>
      <c r="H89" s="41"/>
      <c r="I89" s="41"/>
      <c r="J89" s="41"/>
      <c r="K89" s="41"/>
      <c r="L89" s="60"/>
      <c r="M89" s="60"/>
      <c r="N89" s="50"/>
    </row>
    <row r="90" spans="1:14" ht="15">
      <c r="A90" s="94"/>
      <c r="B90" s="109"/>
      <c r="C90" s="98"/>
      <c r="D90" s="41"/>
      <c r="E90" s="41" t="s">
        <v>55</v>
      </c>
      <c r="F90" s="41">
        <v>5</v>
      </c>
      <c r="G90" s="41">
        <v>6</v>
      </c>
      <c r="H90" s="41"/>
      <c r="I90" s="41"/>
      <c r="J90" s="41"/>
      <c r="K90" s="41"/>
      <c r="L90" s="60"/>
      <c r="M90" s="60"/>
      <c r="N90" s="50" t="s">
        <v>181</v>
      </c>
    </row>
    <row r="91" spans="1:14" ht="15">
      <c r="A91" s="94"/>
      <c r="B91" s="108" t="s">
        <v>4</v>
      </c>
      <c r="C91" s="121" t="s">
        <v>140</v>
      </c>
      <c r="D91" s="41" t="s">
        <v>145</v>
      </c>
      <c r="E91" s="41" t="s">
        <v>167</v>
      </c>
      <c r="F91" s="41">
        <v>5</v>
      </c>
      <c r="G91" s="41">
        <v>6</v>
      </c>
      <c r="H91" s="41"/>
      <c r="I91" s="41"/>
      <c r="J91" s="41"/>
      <c r="K91" s="41"/>
      <c r="L91" s="40"/>
      <c r="M91" s="40"/>
      <c r="N91" s="50"/>
    </row>
    <row r="92" spans="1:14" ht="15">
      <c r="A92" s="94"/>
      <c r="B92" s="106"/>
      <c r="C92" s="122"/>
      <c r="D92" s="41" t="s">
        <v>145</v>
      </c>
      <c r="E92" s="41" t="s">
        <v>168</v>
      </c>
      <c r="F92" s="41">
        <v>5</v>
      </c>
      <c r="G92" s="41">
        <v>6</v>
      </c>
      <c r="H92" s="41"/>
      <c r="I92" s="41"/>
      <c r="J92" s="41"/>
      <c r="K92" s="41"/>
      <c r="L92" s="40"/>
      <c r="M92" s="40"/>
      <c r="N92" s="50"/>
    </row>
    <row r="93" spans="1:14" ht="15">
      <c r="A93" s="94"/>
      <c r="B93" s="106"/>
      <c r="C93" s="122"/>
      <c r="D93" s="41" t="s">
        <v>145</v>
      </c>
      <c r="E93" s="41" t="s">
        <v>169</v>
      </c>
      <c r="F93" s="41">
        <v>5</v>
      </c>
      <c r="G93" s="41">
        <v>6</v>
      </c>
      <c r="H93" s="41"/>
      <c r="I93" s="41"/>
      <c r="J93" s="41"/>
      <c r="K93" s="41"/>
      <c r="L93" s="40"/>
      <c r="M93" s="40"/>
      <c r="N93" s="50"/>
    </row>
    <row r="94" spans="1:14" ht="15">
      <c r="A94" s="94"/>
      <c r="B94" s="106"/>
      <c r="C94" s="122"/>
      <c r="D94" s="41" t="s">
        <v>145</v>
      </c>
      <c r="E94" s="41" t="s">
        <v>170</v>
      </c>
      <c r="F94" s="41">
        <v>5</v>
      </c>
      <c r="G94" s="41">
        <v>6</v>
      </c>
      <c r="H94" s="41"/>
      <c r="I94" s="41"/>
      <c r="J94" s="41"/>
      <c r="K94" s="41"/>
      <c r="L94" s="40"/>
      <c r="M94" s="40"/>
      <c r="N94" s="50"/>
    </row>
    <row r="95" spans="1:14" ht="15">
      <c r="A95" s="94"/>
      <c r="B95" s="106"/>
      <c r="C95" s="122"/>
      <c r="D95" s="41" t="s">
        <v>145</v>
      </c>
      <c r="E95" s="41" t="s">
        <v>171</v>
      </c>
      <c r="F95" s="41">
        <v>5</v>
      </c>
      <c r="G95" s="41">
        <v>6</v>
      </c>
      <c r="H95" s="41"/>
      <c r="I95" s="41"/>
      <c r="J95" s="41"/>
      <c r="K95" s="41"/>
      <c r="L95" s="40"/>
      <c r="M95" s="40"/>
      <c r="N95" s="50"/>
    </row>
    <row r="96" spans="1:14" ht="15">
      <c r="A96" s="94"/>
      <c r="B96" s="106"/>
      <c r="C96" s="122"/>
      <c r="D96" s="41" t="s">
        <v>149</v>
      </c>
      <c r="E96" s="41" t="s">
        <v>172</v>
      </c>
      <c r="F96" s="41">
        <v>5</v>
      </c>
      <c r="G96" s="41">
        <v>6</v>
      </c>
      <c r="H96" s="41"/>
      <c r="I96" s="41"/>
      <c r="J96" s="41"/>
      <c r="K96" s="41"/>
      <c r="L96" s="40"/>
      <c r="M96" s="40"/>
      <c r="N96" s="50"/>
    </row>
    <row r="97" spans="1:14" ht="15">
      <c r="A97" s="94"/>
      <c r="B97" s="106"/>
      <c r="C97" s="150"/>
      <c r="D97" s="41" t="s">
        <v>149</v>
      </c>
      <c r="E97" s="41" t="s">
        <v>173</v>
      </c>
      <c r="F97" s="41">
        <v>5</v>
      </c>
      <c r="G97" s="41">
        <v>6</v>
      </c>
      <c r="H97" s="41"/>
      <c r="I97" s="41"/>
      <c r="J97" s="41"/>
      <c r="K97" s="41"/>
      <c r="L97" s="40"/>
      <c r="M97" s="40"/>
      <c r="N97" s="50" t="s">
        <v>213</v>
      </c>
    </row>
    <row r="98" spans="1:14" ht="15">
      <c r="A98" s="94"/>
      <c r="B98" s="106"/>
      <c r="C98" s="147" t="s">
        <v>3</v>
      </c>
      <c r="D98" s="41" t="s">
        <v>149</v>
      </c>
      <c r="E98" s="41" t="s">
        <v>174</v>
      </c>
      <c r="F98" s="41">
        <v>5</v>
      </c>
      <c r="G98" s="41">
        <v>6</v>
      </c>
      <c r="H98" s="41"/>
      <c r="I98" s="41"/>
      <c r="J98" s="41"/>
      <c r="K98" s="41"/>
      <c r="L98" s="121" t="s">
        <v>216</v>
      </c>
      <c r="M98" s="121" t="s">
        <v>216</v>
      </c>
      <c r="N98" s="50"/>
    </row>
    <row r="99" spans="1:14" ht="15">
      <c r="A99" s="94"/>
      <c r="B99" s="106"/>
      <c r="C99" s="147"/>
      <c r="D99" s="41" t="s">
        <v>149</v>
      </c>
      <c r="E99" s="41" t="s">
        <v>175</v>
      </c>
      <c r="F99" s="41">
        <v>5</v>
      </c>
      <c r="G99" s="41">
        <v>6</v>
      </c>
      <c r="H99" s="41"/>
      <c r="I99" s="41"/>
      <c r="J99" s="41"/>
      <c r="K99" s="41"/>
      <c r="L99" s="97"/>
      <c r="M99" s="97"/>
      <c r="N99" s="50"/>
    </row>
    <row r="100" spans="1:14" ht="15">
      <c r="A100" s="94"/>
      <c r="B100" s="106"/>
      <c r="C100" s="147"/>
      <c r="D100" s="41" t="s">
        <v>149</v>
      </c>
      <c r="E100" s="41" t="s">
        <v>176</v>
      </c>
      <c r="F100" s="41">
        <v>5</v>
      </c>
      <c r="G100" s="41">
        <v>6</v>
      </c>
      <c r="H100" s="41"/>
      <c r="I100" s="41"/>
      <c r="J100" s="41"/>
      <c r="K100" s="41"/>
      <c r="L100" s="97"/>
      <c r="M100" s="97"/>
      <c r="N100" s="50"/>
    </row>
    <row r="101" spans="1:14" ht="15">
      <c r="A101" s="94"/>
      <c r="B101" s="106"/>
      <c r="C101" s="147"/>
      <c r="D101" s="41" t="s">
        <v>149</v>
      </c>
      <c r="E101" s="41" t="s">
        <v>177</v>
      </c>
      <c r="F101" s="41">
        <v>5</v>
      </c>
      <c r="G101" s="41">
        <v>6</v>
      </c>
      <c r="H101" s="41"/>
      <c r="I101" s="41"/>
      <c r="J101" s="41"/>
      <c r="K101" s="41"/>
      <c r="L101" s="98"/>
      <c r="M101" s="98"/>
      <c r="N101" s="50"/>
    </row>
    <row r="102" spans="1:14" ht="15">
      <c r="A102" s="94"/>
      <c r="B102" s="107"/>
      <c r="C102" s="147"/>
      <c r="D102" s="41" t="s">
        <v>149</v>
      </c>
      <c r="E102" s="41" t="s">
        <v>178</v>
      </c>
      <c r="F102" s="41">
        <v>5</v>
      </c>
      <c r="G102" s="41">
        <v>6</v>
      </c>
      <c r="H102" s="41"/>
      <c r="I102" s="41"/>
      <c r="J102" s="41"/>
      <c r="K102" s="41"/>
      <c r="L102" s="40"/>
      <c r="M102" s="40"/>
      <c r="N102" s="50"/>
    </row>
    <row r="103" spans="1:14" ht="15">
      <c r="A103" s="94"/>
      <c r="B103" s="109" t="s">
        <v>259</v>
      </c>
      <c r="C103" s="41" t="s">
        <v>147</v>
      </c>
      <c r="D103" s="41" t="s">
        <v>149</v>
      </c>
      <c r="E103" s="41" t="s">
        <v>179</v>
      </c>
      <c r="F103" s="41">
        <v>5</v>
      </c>
      <c r="G103" s="41">
        <v>6</v>
      </c>
      <c r="H103" s="41"/>
      <c r="I103" s="41"/>
      <c r="J103" s="41"/>
      <c r="K103" s="41"/>
      <c r="L103" s="40"/>
      <c r="M103" s="40"/>
      <c r="N103" s="50" t="s">
        <v>181</v>
      </c>
    </row>
    <row r="104" spans="1:14" ht="15">
      <c r="A104" s="94"/>
      <c r="B104" s="110"/>
      <c r="C104" s="41" t="s">
        <v>180</v>
      </c>
      <c r="D104" s="41" t="s">
        <v>149</v>
      </c>
      <c r="E104" s="41" t="s">
        <v>94</v>
      </c>
      <c r="F104" s="41">
        <v>5</v>
      </c>
      <c r="G104" s="41">
        <v>6</v>
      </c>
      <c r="H104" s="41"/>
      <c r="I104" s="41"/>
      <c r="J104" s="41"/>
      <c r="K104" s="41"/>
      <c r="L104" s="40"/>
      <c r="M104" s="40"/>
      <c r="N104" s="50"/>
    </row>
    <row r="105" spans="1:14" ht="15">
      <c r="A105" s="94"/>
      <c r="B105" s="109" t="s">
        <v>139</v>
      </c>
      <c r="C105" s="59" t="s">
        <v>10</v>
      </c>
      <c r="D105" s="41" t="s">
        <v>149</v>
      </c>
      <c r="E105" s="41" t="s">
        <v>118</v>
      </c>
      <c r="F105" s="41">
        <v>5</v>
      </c>
      <c r="G105" s="41">
        <v>6</v>
      </c>
      <c r="H105" s="41"/>
      <c r="I105" s="41"/>
      <c r="J105" s="41"/>
      <c r="K105" s="41"/>
      <c r="L105" s="40"/>
      <c r="M105" s="40"/>
      <c r="N105" s="50"/>
    </row>
    <row r="106" spans="1:14" ht="15">
      <c r="A106" s="94"/>
      <c r="B106" s="109"/>
      <c r="C106" s="58" t="s">
        <v>190</v>
      </c>
      <c r="D106" s="27" t="s">
        <v>149</v>
      </c>
      <c r="E106" s="27" t="s">
        <v>114</v>
      </c>
      <c r="F106" s="27">
        <v>5</v>
      </c>
      <c r="G106" s="27">
        <v>4</v>
      </c>
      <c r="H106" s="41"/>
      <c r="I106" s="41"/>
      <c r="J106" s="41"/>
      <c r="K106" s="41"/>
      <c r="L106" s="40"/>
      <c r="M106" s="40"/>
      <c r="N106" s="50"/>
    </row>
    <row r="107" spans="1:14" ht="15.45" thickBot="1">
      <c r="A107" s="95"/>
      <c r="B107" s="151"/>
      <c r="C107" s="82" t="s">
        <v>155</v>
      </c>
      <c r="D107" s="83" t="s">
        <v>145</v>
      </c>
      <c r="E107" s="83" t="s">
        <v>212</v>
      </c>
      <c r="F107" s="83">
        <v>5</v>
      </c>
      <c r="G107" s="83">
        <v>4</v>
      </c>
      <c r="H107" s="21"/>
      <c r="I107" s="21"/>
      <c r="J107" s="21"/>
      <c r="K107" s="21"/>
      <c r="L107" s="23"/>
      <c r="M107" s="23"/>
      <c r="N107" s="51"/>
    </row>
    <row r="108" spans="1:14" ht="15.45">
      <c r="A108" s="134" t="s">
        <v>142</v>
      </c>
      <c r="B108" s="135"/>
      <c r="C108" s="135"/>
      <c r="D108" s="135"/>
      <c r="E108" s="135"/>
      <c r="F108" s="135"/>
      <c r="G108" s="84"/>
      <c r="H108" s="85">
        <v>29</v>
      </c>
      <c r="I108" s="85">
        <v>29</v>
      </c>
      <c r="J108" s="85">
        <v>29</v>
      </c>
      <c r="K108" s="85">
        <v>29</v>
      </c>
      <c r="L108" s="86">
        <v>29</v>
      </c>
      <c r="M108" s="86">
        <v>29</v>
      </c>
      <c r="N108" s="45"/>
    </row>
    <row r="109" spans="1:14" ht="15.45">
      <c r="A109" s="136" t="s">
        <v>2</v>
      </c>
      <c r="B109" s="137"/>
      <c r="C109" s="137"/>
      <c r="D109" s="137"/>
      <c r="E109" s="137"/>
      <c r="F109" s="138"/>
      <c r="G109" s="44">
        <v>18</v>
      </c>
      <c r="H109" s="28">
        <v>3</v>
      </c>
      <c r="I109" s="29">
        <v>3</v>
      </c>
      <c r="J109" s="28">
        <v>3</v>
      </c>
      <c r="K109" s="29">
        <v>3</v>
      </c>
      <c r="L109" s="19">
        <v>3</v>
      </c>
      <c r="M109" s="19">
        <v>3</v>
      </c>
      <c r="N109" s="46"/>
    </row>
    <row r="110" spans="1:14" ht="15.45">
      <c r="A110" s="136" t="s">
        <v>1</v>
      </c>
      <c r="B110" s="137"/>
      <c r="C110" s="137"/>
      <c r="D110" s="137"/>
      <c r="E110" s="137"/>
      <c r="F110" s="137"/>
      <c r="G110" s="138"/>
      <c r="H110" s="30">
        <f t="shared" ref="H110:I110" si="5">SUM(H108:H109)</f>
        <v>32</v>
      </c>
      <c r="I110" s="31">
        <f t="shared" si="5"/>
        <v>32</v>
      </c>
      <c r="J110" s="30">
        <f t="shared" ref="J110:K110" si="6">SUM(J108:J109)</f>
        <v>32</v>
      </c>
      <c r="K110" s="31">
        <f t="shared" si="6"/>
        <v>32</v>
      </c>
      <c r="L110" s="44">
        <v>32</v>
      </c>
      <c r="M110" s="44">
        <v>32</v>
      </c>
      <c r="N110" s="47"/>
    </row>
    <row r="111" spans="1:14" ht="15.45">
      <c r="A111" s="136" t="s">
        <v>143</v>
      </c>
      <c r="B111" s="137"/>
      <c r="C111" s="137"/>
      <c r="D111" s="137"/>
      <c r="E111" s="137"/>
      <c r="F111" s="137"/>
      <c r="G111" s="138"/>
      <c r="H111" s="30">
        <v>10</v>
      </c>
      <c r="I111" s="31">
        <v>10</v>
      </c>
      <c r="J111" s="30">
        <v>13</v>
      </c>
      <c r="K111" s="31">
        <v>13</v>
      </c>
      <c r="L111" s="44">
        <v>11</v>
      </c>
      <c r="M111" s="44">
        <v>11</v>
      </c>
      <c r="N111" s="47"/>
    </row>
    <row r="112" spans="1:14" ht="15.9" thickBot="1">
      <c r="A112" s="139" t="s">
        <v>0</v>
      </c>
      <c r="B112" s="140"/>
      <c r="C112" s="140"/>
      <c r="D112" s="140"/>
      <c r="E112" s="140"/>
      <c r="F112" s="140"/>
      <c r="G112" s="141"/>
      <c r="H112" s="144">
        <f>SUM(H110:I110)</f>
        <v>64</v>
      </c>
      <c r="I112" s="145"/>
      <c r="J112" s="144">
        <f>SUM(J110:K110)</f>
        <v>64</v>
      </c>
      <c r="K112" s="145"/>
      <c r="L112" s="142">
        <v>64</v>
      </c>
      <c r="M112" s="143"/>
      <c r="N112" s="48"/>
    </row>
    <row r="113" spans="1:14">
      <c r="A113" s="125" t="s">
        <v>183</v>
      </c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7"/>
    </row>
    <row r="114" spans="1:14">
      <c r="A114" s="128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30"/>
    </row>
    <row r="115" spans="1:14" ht="26.4" customHeight="1" thickBot="1">
      <c r="A115" s="131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3"/>
    </row>
  </sheetData>
  <mergeCells count="75">
    <mergeCell ref="J64:J67"/>
    <mergeCell ref="K80:K82"/>
    <mergeCell ref="H3:I3"/>
    <mergeCell ref="H4:H5"/>
    <mergeCell ref="I4:I5"/>
    <mergeCell ref="J3:K3"/>
    <mergeCell ref="K67:K79"/>
    <mergeCell ref="M4:M5"/>
    <mergeCell ref="J51:J63"/>
    <mergeCell ref="N3:N5"/>
    <mergeCell ref="C40:C43"/>
    <mergeCell ref="A1:N1"/>
    <mergeCell ref="A2:G2"/>
    <mergeCell ref="A3:A5"/>
    <mergeCell ref="B3:B5"/>
    <mergeCell ref="C3:C5"/>
    <mergeCell ref="D3:D5"/>
    <mergeCell ref="E3:E5"/>
    <mergeCell ref="F3:F5"/>
    <mergeCell ref="G3:G5"/>
    <mergeCell ref="J4:J5"/>
    <mergeCell ref="K4:K5"/>
    <mergeCell ref="L4:L5"/>
    <mergeCell ref="L3:M3"/>
    <mergeCell ref="A6:A50"/>
    <mergeCell ref="B6:B26"/>
    <mergeCell ref="B44:B50"/>
    <mergeCell ref="C44:C47"/>
    <mergeCell ref="C48:C50"/>
    <mergeCell ref="C30:C33"/>
    <mergeCell ref="C27:C29"/>
    <mergeCell ref="B27:B33"/>
    <mergeCell ref="C25:C26"/>
    <mergeCell ref="C19:C24"/>
    <mergeCell ref="B34:B43"/>
    <mergeCell ref="C34:C39"/>
    <mergeCell ref="A83:A107"/>
    <mergeCell ref="B83:B90"/>
    <mergeCell ref="C89:C90"/>
    <mergeCell ref="B91:B102"/>
    <mergeCell ref="C91:C97"/>
    <mergeCell ref="C98:C102"/>
    <mergeCell ref="B103:B104"/>
    <mergeCell ref="B105:B107"/>
    <mergeCell ref="C83:C85"/>
    <mergeCell ref="C87:C88"/>
    <mergeCell ref="A113:N115"/>
    <mergeCell ref="A108:F108"/>
    <mergeCell ref="A109:F109"/>
    <mergeCell ref="A110:G110"/>
    <mergeCell ref="A111:G111"/>
    <mergeCell ref="A112:G112"/>
    <mergeCell ref="L112:M112"/>
    <mergeCell ref="J112:K112"/>
    <mergeCell ref="H112:I112"/>
    <mergeCell ref="L83:L88"/>
    <mergeCell ref="M83:M88"/>
    <mergeCell ref="L98:L101"/>
    <mergeCell ref="M98:M101"/>
    <mergeCell ref="A51:A82"/>
    <mergeCell ref="C6:C10"/>
    <mergeCell ref="C11:C18"/>
    <mergeCell ref="B79:B82"/>
    <mergeCell ref="B63:B66"/>
    <mergeCell ref="B51:B54"/>
    <mergeCell ref="B55:B62"/>
    <mergeCell ref="B67:B69"/>
    <mergeCell ref="B70:B78"/>
    <mergeCell ref="C52:C53"/>
    <mergeCell ref="C55:C58"/>
    <mergeCell ref="C59:C62"/>
    <mergeCell ref="C64:C66"/>
    <mergeCell ref="C70:C73"/>
    <mergeCell ref="C74:C78"/>
    <mergeCell ref="C80:C82"/>
  </mergeCells>
  <phoneticPr fontId="1" type="noConversion"/>
  <conditionalFormatting sqref="F51:F82">
    <cfRule type="expression" dxfId="9" priority="1">
      <formula>ISTEXT(F51)</formula>
    </cfRule>
  </conditionalFormatting>
  <conditionalFormatting sqref="G52:G53">
    <cfRule type="expression" dxfId="8" priority="5">
      <formula>ISTEXT(G52)</formula>
    </cfRule>
  </conditionalFormatting>
  <conditionalFormatting sqref="J44:J47 L21:N21">
    <cfRule type="expression" dxfId="7" priority="6">
      <formula>AND(RIGHT(J21,1)=")",RIGHT(K21,1)=")")</formula>
    </cfRule>
  </conditionalFormatting>
  <conditionalFormatting sqref="J44:K47 J6:M20 L24:M67 J21:N21 L22:M22">
    <cfRule type="containsText" dxfId="6" priority="9" operator="containsText" text="택">
      <formula>NOT(ISERROR(SEARCH("택",J6)))</formula>
    </cfRule>
  </conditionalFormatting>
  <conditionalFormatting sqref="J22:K37">
    <cfRule type="containsText" dxfId="5" priority="19" operator="containsText" text="택">
      <formula>NOT(ISERROR(SEARCH("택",J22)))</formula>
    </cfRule>
  </conditionalFormatting>
  <conditionalFormatting sqref="K6:K20 K22:K37">
    <cfRule type="expression" dxfId="4" priority="18">
      <formula>AND(RIGHT(J6,1)=")",RIGHT(K6,1)=")")</formula>
    </cfRule>
  </conditionalFormatting>
  <conditionalFormatting sqref="K44:K47">
    <cfRule type="expression" dxfId="3" priority="8">
      <formula>AND(RIGHT(J44,1)=")",RIGHT(K44,1)=")")</formula>
    </cfRule>
  </conditionalFormatting>
  <conditionalFormatting sqref="J6:J37">
    <cfRule type="expression" dxfId="2" priority="11">
      <formula>AND(RIGHT(J6,1)=")",RIGHT(K6,1)=")")</formula>
    </cfRule>
  </conditionalFormatting>
  <conditionalFormatting sqref="L6:M20 L24:M67">
    <cfRule type="expression" dxfId="1" priority="165">
      <formula>AND(RIGHT(#REF!,1)=")",RIGHT(L6,1)=")")</formula>
    </cfRule>
  </conditionalFormatting>
  <conditionalFormatting sqref="K21">
    <cfRule type="expression" dxfId="0" priority="174">
      <formula>AND(RIGHT(K21,1)=")",RIGHT(#REF!,1)=")")</formula>
    </cfRule>
  </conditionalFormatting>
  <dataValidations count="9">
    <dataValidation type="list" allowBlank="1" showInputMessage="1" sqref="E91:E107 E6:E50" xr:uid="{521FFE51-C660-43A3-9FBD-89981E5884D1}">
      <formula1>INDIRECT(D6)</formula1>
    </dataValidation>
    <dataValidation type="list" allowBlank="1" showInputMessage="1" sqref="E83:E85" xr:uid="{E1C090D1-111E-4657-AEE5-562E1AF9B4B4}">
      <formula1>INDIRECT(D85)</formula1>
    </dataValidation>
    <dataValidation type="list" allowBlank="1" showInputMessage="1" sqref="E90" xr:uid="{2DAF00EE-F579-4CF4-BD16-7765EAEF5584}">
      <formula1>INDIRECT(D88)</formula1>
    </dataValidation>
    <dataValidation type="list" allowBlank="1" showInputMessage="1" sqref="D87:E88" xr:uid="{5080AF72-DD57-4D23-A0A9-2ABAA3640E23}">
      <formula1>INDIRECT(C88)</formula1>
    </dataValidation>
    <dataValidation type="list" allowBlank="1" showInputMessage="1" showErrorMessage="1" sqref="D89:D107 D85:D86 D6:D62 D67:D78 D83" xr:uid="{5A549404-D0BB-4977-A7AB-ABF57E9F87BD}">
      <formula1>과목유형</formula1>
    </dataValidation>
    <dataValidation type="list" allowBlank="1" showInputMessage="1" sqref="E89" xr:uid="{4A557095-BCE1-4BEC-AFC8-96FF9D2E5B31}">
      <formula1>INDIRECT(#REF!)</formula1>
    </dataValidation>
    <dataValidation type="list" allowBlank="1" showInputMessage="1" sqref="E86" xr:uid="{B128B35C-C654-4159-BA6D-9A3F4E1FE21A}">
      <formula1>INDIRECT(D83)</formula1>
    </dataValidation>
    <dataValidation type="list" allowBlank="1" showInputMessage="1" showErrorMessage="1" sqref="D63:D66 D79:D82" xr:uid="{1890B3C4-ACF3-4EFF-A23E-6BFA43B02261}">
      <formula1>과목유형2</formula1>
    </dataValidation>
    <dataValidation type="list" allowBlank="1" showInputMessage="1" sqref="N24:N107 N6:N20 N22" xr:uid="{30C03B75-D790-45D6-8FD4-F7D6F621C074}">
      <formula1>비고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12" scale="67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B9D4-7535-4048-B372-A4DA930D6333}">
  <dimension ref="A1"/>
  <sheetViews>
    <sheetView topLeftCell="A22" zoomScale="80" zoomScaleNormal="80" workbookViewId="0">
      <selection activeCell="R53" sqref="R53"/>
    </sheetView>
  </sheetViews>
  <sheetFormatPr defaultRowHeight="14.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998B-1FDE-4D9D-BF89-B61E73AC7BEF}">
  <dimension ref="A1:E52"/>
  <sheetViews>
    <sheetView topLeftCell="A2" workbookViewId="0">
      <selection activeCell="A11" sqref="A11"/>
    </sheetView>
  </sheetViews>
  <sheetFormatPr defaultColWidth="8.6640625" defaultRowHeight="14.15"/>
  <cols>
    <col min="1" max="1" width="18.86328125" style="17" customWidth="1"/>
    <col min="2" max="5" width="18.3984375" customWidth="1"/>
    <col min="6" max="16384" width="8.6640625" style="17"/>
  </cols>
  <sheetData>
    <row r="1" spans="1:5" ht="17.600000000000001">
      <c r="A1" s="8" t="s">
        <v>25</v>
      </c>
      <c r="B1" s="12" t="s">
        <v>29</v>
      </c>
      <c r="C1" s="12" t="s">
        <v>30</v>
      </c>
      <c r="D1" s="12" t="s">
        <v>31</v>
      </c>
      <c r="E1" s="16" t="s">
        <v>22</v>
      </c>
    </row>
    <row r="2" spans="1:5" ht="17.600000000000001">
      <c r="A2" s="7" t="s">
        <v>29</v>
      </c>
      <c r="B2" s="10" t="s">
        <v>32</v>
      </c>
      <c r="C2" s="10" t="s">
        <v>33</v>
      </c>
      <c r="D2" s="10" t="s">
        <v>34</v>
      </c>
      <c r="E2" s="10" t="s">
        <v>35</v>
      </c>
    </row>
    <row r="3" spans="1:5" ht="17.600000000000001">
      <c r="A3" s="7" t="s">
        <v>30</v>
      </c>
      <c r="B3" s="10" t="s">
        <v>36</v>
      </c>
      <c r="C3" s="10" t="s">
        <v>37</v>
      </c>
      <c r="D3" s="10" t="s">
        <v>38</v>
      </c>
      <c r="E3" s="7" t="s">
        <v>39</v>
      </c>
    </row>
    <row r="4" spans="1:5" ht="17.600000000000001">
      <c r="A4" s="9" t="s">
        <v>31</v>
      </c>
      <c r="B4" s="10" t="s">
        <v>40</v>
      </c>
      <c r="C4" s="10" t="s">
        <v>41</v>
      </c>
      <c r="D4" s="10" t="s">
        <v>42</v>
      </c>
      <c r="E4" s="10" t="s">
        <v>43</v>
      </c>
    </row>
    <row r="5" spans="1:5" ht="17.600000000000001">
      <c r="A5" s="3"/>
      <c r="B5" s="10" t="s">
        <v>18</v>
      </c>
      <c r="C5" s="10" t="s">
        <v>44</v>
      </c>
      <c r="D5" s="10" t="s">
        <v>45</v>
      </c>
      <c r="E5" s="14" t="s">
        <v>46</v>
      </c>
    </row>
    <row r="6" spans="1:5" ht="17.600000000000001">
      <c r="A6" s="3"/>
      <c r="B6" s="10" t="s">
        <v>17</v>
      </c>
      <c r="C6" s="10" t="s">
        <v>47</v>
      </c>
      <c r="D6" s="10" t="s">
        <v>48</v>
      </c>
      <c r="E6" s="4"/>
    </row>
    <row r="7" spans="1:5" ht="17.600000000000001">
      <c r="A7" s="3"/>
      <c r="B7" s="11" t="s">
        <v>49</v>
      </c>
      <c r="C7" s="10" t="s">
        <v>50</v>
      </c>
      <c r="D7" s="10" t="s">
        <v>51</v>
      </c>
      <c r="E7" s="5"/>
    </row>
    <row r="8" spans="1:5" ht="17.600000000000001">
      <c r="A8" s="3"/>
      <c r="B8" s="13" t="s">
        <v>52</v>
      </c>
      <c r="C8" s="10" t="s">
        <v>53</v>
      </c>
      <c r="D8" s="10" t="s">
        <v>54</v>
      </c>
      <c r="E8" s="5"/>
    </row>
    <row r="9" spans="1:5" ht="17.600000000000001">
      <c r="A9" s="3"/>
      <c r="B9" s="6"/>
      <c r="C9" s="10" t="s">
        <v>55</v>
      </c>
      <c r="D9" s="10" t="s">
        <v>56</v>
      </c>
      <c r="E9" s="4"/>
    </row>
    <row r="10" spans="1:5" ht="17.600000000000001">
      <c r="A10" s="3"/>
      <c r="B10" s="6"/>
      <c r="C10" s="10" t="s">
        <v>57</v>
      </c>
      <c r="D10" s="10" t="s">
        <v>58</v>
      </c>
      <c r="E10" s="4"/>
    </row>
    <row r="11" spans="1:5" ht="17.600000000000001">
      <c r="A11" s="3"/>
      <c r="B11" s="6"/>
      <c r="C11" s="10" t="s">
        <v>59</v>
      </c>
      <c r="D11" s="10" t="s">
        <v>60</v>
      </c>
      <c r="E11" s="4"/>
    </row>
    <row r="12" spans="1:5" ht="17.600000000000001">
      <c r="A12" s="3"/>
      <c r="B12" s="6"/>
      <c r="C12" s="10" t="s">
        <v>61</v>
      </c>
      <c r="D12" s="10" t="s">
        <v>62</v>
      </c>
      <c r="E12" s="4"/>
    </row>
    <row r="13" spans="1:5" ht="17.600000000000001">
      <c r="A13" s="3"/>
      <c r="B13" s="6"/>
      <c r="C13" s="10" t="s">
        <v>63</v>
      </c>
      <c r="D13" s="10" t="s">
        <v>64</v>
      </c>
      <c r="E13" s="4"/>
    </row>
    <row r="14" spans="1:5" ht="17.600000000000001">
      <c r="A14" s="3"/>
      <c r="B14" s="6"/>
      <c r="C14" s="10" t="s">
        <v>65</v>
      </c>
      <c r="D14" s="10" t="s">
        <v>66</v>
      </c>
      <c r="E14" s="4"/>
    </row>
    <row r="15" spans="1:5" ht="17.600000000000001">
      <c r="A15" s="3"/>
      <c r="B15" s="6"/>
      <c r="C15" s="10" t="s">
        <v>67</v>
      </c>
      <c r="D15" s="10" t="s">
        <v>68</v>
      </c>
      <c r="E15" s="4"/>
    </row>
    <row r="16" spans="1:5" ht="17.600000000000001">
      <c r="A16" s="3"/>
      <c r="B16" s="6"/>
      <c r="C16" s="10" t="s">
        <v>69</v>
      </c>
      <c r="D16" s="10" t="s">
        <v>70</v>
      </c>
      <c r="E16" s="4"/>
    </row>
    <row r="17" spans="1:5" ht="17.600000000000001">
      <c r="A17" s="3"/>
      <c r="B17" s="3"/>
      <c r="C17" s="10" t="s">
        <v>71</v>
      </c>
      <c r="D17" s="10" t="s">
        <v>72</v>
      </c>
      <c r="E17" s="4"/>
    </row>
    <row r="18" spans="1:5" ht="17.600000000000001">
      <c r="A18" s="3"/>
      <c r="B18" s="3"/>
      <c r="C18" s="10" t="s">
        <v>73</v>
      </c>
      <c r="D18" s="11" t="s">
        <v>74</v>
      </c>
      <c r="E18" s="4"/>
    </row>
    <row r="19" spans="1:5" ht="17.600000000000001">
      <c r="A19" s="3"/>
      <c r="B19" s="3"/>
      <c r="C19" s="10" t="s">
        <v>75</v>
      </c>
      <c r="D19" s="11" t="s">
        <v>76</v>
      </c>
      <c r="E19" s="4"/>
    </row>
    <row r="20" spans="1:5" ht="17.600000000000001">
      <c r="A20" s="3"/>
      <c r="B20" s="3"/>
      <c r="C20" s="10" t="s">
        <v>77</v>
      </c>
      <c r="D20" s="10" t="s">
        <v>78</v>
      </c>
      <c r="E20" s="4"/>
    </row>
    <row r="21" spans="1:5" ht="17.600000000000001">
      <c r="A21" s="3"/>
      <c r="B21" s="3"/>
      <c r="C21" s="10" t="s">
        <v>79</v>
      </c>
      <c r="D21" s="10" t="s">
        <v>80</v>
      </c>
      <c r="E21" s="4"/>
    </row>
    <row r="22" spans="1:5" ht="17.600000000000001">
      <c r="A22" s="3"/>
      <c r="B22" s="3"/>
      <c r="C22" s="10" t="s">
        <v>81</v>
      </c>
      <c r="D22" s="10" t="s">
        <v>82</v>
      </c>
      <c r="E22" s="4"/>
    </row>
    <row r="23" spans="1:5" ht="17.600000000000001">
      <c r="A23" s="3"/>
      <c r="B23" s="3"/>
      <c r="C23" s="10" t="s">
        <v>83</v>
      </c>
      <c r="D23" s="10" t="s">
        <v>84</v>
      </c>
      <c r="E23" s="4"/>
    </row>
    <row r="24" spans="1:5" ht="17.600000000000001">
      <c r="A24" s="3"/>
      <c r="B24" s="3"/>
      <c r="C24" s="10" t="s">
        <v>85</v>
      </c>
      <c r="D24" s="10" t="s">
        <v>86</v>
      </c>
      <c r="E24" s="4"/>
    </row>
    <row r="25" spans="1:5" ht="17.600000000000001">
      <c r="A25" s="3"/>
      <c r="B25" s="3"/>
      <c r="C25" s="11" t="s">
        <v>87</v>
      </c>
      <c r="D25" s="10" t="s">
        <v>88</v>
      </c>
      <c r="E25" s="4"/>
    </row>
    <row r="26" spans="1:5" ht="17.600000000000001">
      <c r="A26" s="3"/>
      <c r="B26" s="3"/>
      <c r="C26" s="10" t="s">
        <v>89</v>
      </c>
      <c r="D26" s="10" t="s">
        <v>90</v>
      </c>
      <c r="E26" s="4"/>
    </row>
    <row r="27" spans="1:5" ht="17.600000000000001">
      <c r="A27" s="3"/>
      <c r="B27" s="3"/>
      <c r="C27" s="10" t="s">
        <v>91</v>
      </c>
      <c r="D27" s="10" t="s">
        <v>92</v>
      </c>
      <c r="E27" s="4"/>
    </row>
    <row r="28" spans="1:5" ht="17.600000000000001">
      <c r="A28" s="3"/>
      <c r="B28" s="3"/>
      <c r="C28" s="10" t="s">
        <v>93</v>
      </c>
      <c r="D28" s="10" t="s">
        <v>94</v>
      </c>
      <c r="E28" s="4"/>
    </row>
    <row r="29" spans="1:5" ht="17.600000000000001">
      <c r="A29" s="3"/>
      <c r="B29" s="3"/>
      <c r="C29" s="10" t="s">
        <v>95</v>
      </c>
      <c r="D29" s="10" t="s">
        <v>96</v>
      </c>
      <c r="E29" s="4"/>
    </row>
    <row r="30" spans="1:5" ht="17.600000000000001">
      <c r="A30" s="3"/>
      <c r="B30" s="3"/>
      <c r="C30" s="10" t="s">
        <v>97</v>
      </c>
      <c r="D30" s="10" t="s">
        <v>98</v>
      </c>
      <c r="E30" s="4"/>
    </row>
    <row r="31" spans="1:5" ht="17.600000000000001">
      <c r="A31" s="3"/>
      <c r="B31" s="3"/>
      <c r="C31" s="10" t="s">
        <v>99</v>
      </c>
      <c r="D31" s="10" t="s">
        <v>100</v>
      </c>
      <c r="E31" s="4"/>
    </row>
    <row r="32" spans="1:5" ht="17.600000000000001">
      <c r="A32" s="3"/>
      <c r="B32" s="3"/>
      <c r="C32" s="10" t="s">
        <v>101</v>
      </c>
      <c r="D32" s="10" t="s">
        <v>102</v>
      </c>
      <c r="E32" s="4"/>
    </row>
    <row r="33" spans="1:5" ht="17.600000000000001">
      <c r="A33" s="3"/>
      <c r="B33" s="3"/>
      <c r="C33" s="10" t="s">
        <v>103</v>
      </c>
      <c r="D33" s="10" t="s">
        <v>104</v>
      </c>
      <c r="E33" s="4"/>
    </row>
    <row r="34" spans="1:5" ht="17.600000000000001">
      <c r="A34" s="3"/>
      <c r="B34" s="3"/>
      <c r="C34" s="7" t="s">
        <v>105</v>
      </c>
      <c r="D34" s="10" t="s">
        <v>106</v>
      </c>
      <c r="E34" s="4"/>
    </row>
    <row r="35" spans="1:5" ht="17.600000000000001">
      <c r="A35" s="3"/>
      <c r="B35" s="3"/>
      <c r="C35" s="11" t="s">
        <v>107</v>
      </c>
      <c r="D35" s="10" t="s">
        <v>108</v>
      </c>
      <c r="E35" s="4"/>
    </row>
    <row r="36" spans="1:5" ht="17.600000000000001">
      <c r="A36" s="3"/>
      <c r="B36" s="3"/>
      <c r="C36" s="11" t="s">
        <v>109</v>
      </c>
      <c r="D36" s="11" t="s">
        <v>110</v>
      </c>
      <c r="E36" s="4"/>
    </row>
    <row r="37" spans="1:5" ht="17.600000000000001">
      <c r="A37" s="3"/>
      <c r="B37" s="3"/>
      <c r="C37" s="11" t="s">
        <v>111</v>
      </c>
      <c r="D37" s="10" t="s">
        <v>112</v>
      </c>
      <c r="E37" s="4"/>
    </row>
    <row r="38" spans="1:5" ht="17.600000000000001">
      <c r="A38" s="3"/>
      <c r="B38" s="3"/>
      <c r="C38" s="11" t="s">
        <v>113</v>
      </c>
      <c r="D38" s="15" t="s">
        <v>114</v>
      </c>
      <c r="E38" s="4"/>
    </row>
    <row r="39" spans="1:5" ht="17.600000000000001">
      <c r="A39" s="3"/>
      <c r="B39" s="3"/>
      <c r="C39" s="11" t="s">
        <v>115</v>
      </c>
      <c r="D39" s="11" t="s">
        <v>116</v>
      </c>
      <c r="E39" s="4"/>
    </row>
    <row r="40" spans="1:5" ht="17.600000000000001">
      <c r="A40" s="3"/>
      <c r="B40" s="3"/>
      <c r="C40" s="11" t="s">
        <v>117</v>
      </c>
      <c r="D40" s="11" t="s">
        <v>118</v>
      </c>
      <c r="E40" s="4"/>
    </row>
    <row r="41" spans="1:5" ht="17.600000000000001">
      <c r="A41" s="3"/>
      <c r="B41" s="3"/>
      <c r="C41" s="7" t="s">
        <v>119</v>
      </c>
      <c r="D41" s="11" t="s">
        <v>120</v>
      </c>
      <c r="E41" s="4"/>
    </row>
    <row r="42" spans="1:5" ht="17.600000000000001">
      <c r="A42" s="3"/>
      <c r="B42" s="3"/>
      <c r="C42" s="11" t="s">
        <v>121</v>
      </c>
      <c r="D42" s="11" t="s">
        <v>122</v>
      </c>
      <c r="E42" s="4"/>
    </row>
    <row r="43" spans="1:5" ht="17.600000000000001">
      <c r="A43" s="3"/>
      <c r="B43" s="3"/>
      <c r="C43" s="10" t="s">
        <v>123</v>
      </c>
      <c r="D43" s="11" t="s">
        <v>124</v>
      </c>
      <c r="E43" s="4"/>
    </row>
    <row r="44" spans="1:5" ht="17.600000000000001">
      <c r="A44" s="3"/>
      <c r="B44" s="3"/>
      <c r="C44" s="7" t="s">
        <v>125</v>
      </c>
      <c r="D44" s="11" t="s">
        <v>126</v>
      </c>
      <c r="E44" s="4"/>
    </row>
    <row r="45" spans="1:5" ht="17.600000000000001">
      <c r="A45" s="3"/>
      <c r="B45" s="3"/>
      <c r="C45" s="10" t="s">
        <v>127</v>
      </c>
      <c r="D45" s="11" t="s">
        <v>128</v>
      </c>
      <c r="E45" s="4"/>
    </row>
    <row r="46" spans="1:5" ht="17.600000000000001">
      <c r="A46" s="3"/>
      <c r="B46" s="3"/>
      <c r="C46" s="10" t="s">
        <v>129</v>
      </c>
      <c r="D46" s="11" t="s">
        <v>130</v>
      </c>
      <c r="E46" s="4"/>
    </row>
    <row r="47" spans="1:5" ht="17.600000000000001">
      <c r="A47" s="3"/>
      <c r="B47" s="3"/>
      <c r="C47" s="10" t="s">
        <v>131</v>
      </c>
      <c r="D47" s="13" t="s">
        <v>132</v>
      </c>
      <c r="E47" s="4"/>
    </row>
    <row r="48" spans="1:5" ht="17.600000000000001">
      <c r="A48" s="3"/>
      <c r="B48" s="3"/>
      <c r="C48" s="10" t="s">
        <v>133</v>
      </c>
      <c r="D48" s="3"/>
      <c r="E48" s="4"/>
    </row>
    <row r="49" spans="1:5" ht="17.600000000000001">
      <c r="A49" s="3"/>
      <c r="B49" s="3"/>
      <c r="C49" s="10" t="s">
        <v>134</v>
      </c>
      <c r="D49" s="3"/>
      <c r="E49" s="4"/>
    </row>
    <row r="50" spans="1:5" ht="17.600000000000001">
      <c r="A50" s="3"/>
      <c r="B50" s="3"/>
      <c r="C50" s="10" t="s">
        <v>135</v>
      </c>
      <c r="D50" s="3"/>
      <c r="E50" s="4"/>
    </row>
    <row r="51" spans="1:5" ht="17.600000000000001">
      <c r="A51" s="3"/>
      <c r="B51" s="3"/>
      <c r="C51" s="10" t="s">
        <v>136</v>
      </c>
      <c r="D51" s="3"/>
      <c r="E51" s="4"/>
    </row>
    <row r="52" spans="1:5" ht="17.600000000000001">
      <c r="A52" s="3"/>
      <c r="B52" s="3"/>
      <c r="C52" s="14" t="s">
        <v>137</v>
      </c>
      <c r="D52" s="3"/>
      <c r="E52" s="4"/>
    </row>
  </sheetData>
  <phoneticPr fontId="1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11</vt:i4>
      </vt:variant>
    </vt:vector>
  </HeadingPairs>
  <TitlesOfParts>
    <vt:vector size="14" baseType="lpstr">
      <vt:lpstr>2025학년도 배당표</vt:lpstr>
      <vt:lpstr>배당표 작성 요령</vt:lpstr>
      <vt:lpstr>과목</vt:lpstr>
      <vt:lpstr>'2025학년도 배당표'!Print_Area</vt:lpstr>
      <vt:lpstr>'2025학년도 배당표'!공통</vt:lpstr>
      <vt:lpstr>공통</vt:lpstr>
      <vt:lpstr>'2025학년도 배당표'!과목유형</vt:lpstr>
      <vt:lpstr>과목유형</vt:lpstr>
      <vt:lpstr>'2025학년도 배당표'!비고</vt:lpstr>
      <vt:lpstr>비고</vt:lpstr>
      <vt:lpstr>'2025학년도 배당표'!일반</vt:lpstr>
      <vt:lpstr>일반</vt:lpstr>
      <vt:lpstr>'2025학년도 배당표'!진로</vt:lpstr>
      <vt:lpstr>진로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김연희</cp:lastModifiedBy>
  <cp:lastPrinted>2025-04-09T05:15:09Z</cp:lastPrinted>
  <dcterms:created xsi:type="dcterms:W3CDTF">2024-04-19T11:26:34Z</dcterms:created>
  <dcterms:modified xsi:type="dcterms:W3CDTF">2026-08-13T11:06:16Z</dcterms:modified>
</cp:coreProperties>
</file>