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현재_통합_문서" defaultThemeVersion="124226"/>
  <mc:AlternateContent xmlns:mc="http://schemas.openxmlformats.org/markup-compatibility/2006">
    <mc:Choice Requires="x15">
      <x15ac:absPath xmlns:x15ac="http://schemas.microsoft.com/office/spreadsheetml/2010/11/ac" url="C:\GoogleDrive\2026신서고\7. 정보교과\교육과정\과학중점고_교육과정_2026입학생\"/>
    </mc:Choice>
  </mc:AlternateContent>
  <xr:revisionPtr revIDLastSave="0" documentId="8_{2C278C87-082D-40A9-B834-8198001DC481}" xr6:coauthVersionLast="47" xr6:coauthVersionMax="47" xr10:uidLastSave="{00000000-0000-0000-0000-000000000000}"/>
  <bookViews>
    <workbookView xWindow="-108" yWindow="-108" windowWidth="23256" windowHeight="12456" tabRatio="681" xr2:uid="{00000000-000D-0000-FFFF-FFFF00000000}"/>
  </bookViews>
  <sheets>
    <sheet name="2026입학생(과학중점과정)" sheetId="49" r:id="rId1"/>
    <sheet name="배당표 작성 요령" sheetId="48" r:id="rId2"/>
    <sheet name="데이터베이스" sheetId="47" state="hidden" r:id="rId3"/>
  </sheets>
  <definedNames>
    <definedName name="_xlnm.Print_Area" localSheetId="0">'2026입학생(과학중점과정)'!$A$1:$P$98</definedName>
    <definedName name="_xlnm.Print_Titles" localSheetId="0">'2026입학생(과학중점과정)'!$3:$5</definedName>
    <definedName name="과목개설유형">데이터베이스!$K$14:$K$16</definedName>
    <definedName name="과목유형">데이터베이스!$D$2:$D$5</definedName>
    <definedName name="과목유형2">데이터베이스!$D$3:$D$5</definedName>
    <definedName name="과학공통">데이터베이스!$U$2:$U$5</definedName>
    <definedName name="과학융합">데이터베이스!$X$2:$X$4</definedName>
    <definedName name="과학일반">데이터베이스!$V$2:$V$5</definedName>
    <definedName name="과학진로">데이터베이스!$W$2:$W$9</definedName>
    <definedName name="교과군">데이터베이스!$A$2:$A$11</definedName>
    <definedName name="교양융합">데이터베이스!$AM$2:$AM$3</definedName>
    <definedName name="교양일반">데이터베이스!$AK$2:$AK$3</definedName>
    <definedName name="교양진로">데이터베이스!$AL$2:$AL$7</definedName>
    <definedName name="국어공통">데이터베이스!$E$2:$E$3</definedName>
    <definedName name="국어융합">데이터베이스!$H$2:$H$4</definedName>
    <definedName name="국어일반">데이터베이스!$F$2:$F$4</definedName>
    <definedName name="국어진로">데이터베이스!$G$2:$G$4</definedName>
    <definedName name="기가정융합">데이터베이스!$AG$2:$AG$6</definedName>
    <definedName name="기가정일반">데이터베이스!$AE$2:$AE$3</definedName>
    <definedName name="기가정진로">데이터베이스!$AF$2:$AF$5</definedName>
    <definedName name="기본학점">데이터베이스!$D$13:$E$168</definedName>
    <definedName name="비고">데이터베이스!$J$14:$J$21</definedName>
    <definedName name="사회공통">데이터베이스!$Q$2:$Q$5</definedName>
    <definedName name="사회융합">데이터베이스!$T$2:$T$7</definedName>
    <definedName name="사회일반">데이터베이스!$R$2:$R$5</definedName>
    <definedName name="사회진로">데이터베이스!$S$2:$S$10</definedName>
    <definedName name="수학공통">데이터베이스!$I$2:$I$5</definedName>
    <definedName name="수학융합">데이터베이스!$L$2:$L$4</definedName>
    <definedName name="수학일반">데이터베이스!$J$2:$J$4</definedName>
    <definedName name="수학진로">데이터베이스!$K$2:$K$6</definedName>
    <definedName name="영어공통">데이터베이스!$M$2:$M$5</definedName>
    <definedName name="영어융합">데이터베이스!$P$2:$P$4</definedName>
    <definedName name="영어일반">데이터베이스!$N$2:$N$4</definedName>
    <definedName name="영어진로">데이터베이스!$O$2:$O$6</definedName>
    <definedName name="예술융합">데이터베이스!$AD$2:$AD$3</definedName>
    <definedName name="예술일반">데이터베이스!$AB$2:$AB$4</definedName>
    <definedName name="예술진로">데이터베이스!$AC$2:$AC$5</definedName>
    <definedName name="외한융합">데이터베이스!$AJ$2:$AJ$10</definedName>
    <definedName name="외한일반">데이터베이스!$AH$2:$AH$10</definedName>
    <definedName name="외한진로">데이터베이스!$AI$2:$AI$18</definedName>
    <definedName name="운영학점">데이터베이스!$D$13:$G$168</definedName>
    <definedName name="입력용교과군">데이터베이스!$B$2:$B$11</definedName>
    <definedName name="체육융합">데이터베이스!$AA$2:$AA$3</definedName>
    <definedName name="체육일반">데이터베이스!$Y$2:$Y$3</definedName>
    <definedName name="체육진로">데이터베이스!$Z$2:$Z$4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4" i="49" l="1"/>
  <c r="E50" i="49" l="1"/>
  <c r="E49" i="49"/>
  <c r="E51" i="49"/>
  <c r="E48" i="49"/>
  <c r="E60" i="49"/>
  <c r="L84" i="49" l="1"/>
  <c r="K84" i="49"/>
  <c r="J84" i="49"/>
  <c r="I84" i="49"/>
  <c r="O83" i="49"/>
  <c r="P82" i="49"/>
  <c r="H82" i="49"/>
  <c r="H84" i="49" s="1"/>
  <c r="G82" i="49"/>
  <c r="E81" i="49"/>
  <c r="E78" i="49"/>
  <c r="E77" i="49"/>
  <c r="E76" i="49"/>
  <c r="E75" i="49"/>
  <c r="E74" i="49"/>
  <c r="E73" i="49"/>
  <c r="E70" i="49"/>
  <c r="E69" i="49"/>
  <c r="E68" i="49"/>
  <c r="E67" i="49"/>
  <c r="E66" i="49"/>
  <c r="E65" i="49"/>
  <c r="E64" i="49"/>
  <c r="E63" i="49"/>
  <c r="E59" i="49"/>
  <c r="E58" i="49"/>
  <c r="E57" i="49"/>
  <c r="E56" i="49"/>
  <c r="E55" i="49"/>
  <c r="E54" i="49"/>
  <c r="E47" i="49"/>
  <c r="E46" i="49"/>
  <c r="E45" i="49"/>
  <c r="E44" i="49"/>
  <c r="E43" i="49"/>
  <c r="E42" i="49"/>
  <c r="E41" i="49"/>
  <c r="E40" i="49"/>
  <c r="O39" i="49"/>
  <c r="E39" i="49"/>
  <c r="E38" i="49"/>
  <c r="E37" i="49"/>
  <c r="E36" i="49"/>
  <c r="E35" i="49"/>
  <c r="E34" i="49"/>
  <c r="O33" i="49"/>
  <c r="E33" i="49"/>
  <c r="E32" i="49"/>
  <c r="E31" i="49"/>
  <c r="E30" i="49"/>
  <c r="O29" i="49"/>
  <c r="E29" i="49"/>
  <c r="E28" i="49"/>
  <c r="O27" i="49"/>
  <c r="E27" i="49"/>
  <c r="E26" i="49"/>
  <c r="O25" i="49"/>
  <c r="E25" i="49"/>
  <c r="E24" i="49"/>
  <c r="E23" i="49"/>
  <c r="E22" i="49"/>
  <c r="E21" i="49"/>
  <c r="E20" i="49"/>
  <c r="O19" i="49"/>
  <c r="E19" i="49"/>
  <c r="E18" i="49"/>
  <c r="E17" i="49"/>
  <c r="E16" i="49"/>
  <c r="E15" i="49"/>
  <c r="E14" i="49"/>
  <c r="O13" i="49"/>
  <c r="E13" i="49"/>
  <c r="E12" i="49"/>
  <c r="E11" i="49"/>
  <c r="E10" i="49"/>
  <c r="E9" i="49"/>
  <c r="E8" i="49"/>
  <c r="O7" i="49"/>
  <c r="E7" i="49"/>
  <c r="K86" i="49" l="1"/>
  <c r="I86" i="49"/>
  <c r="O82" i="49"/>
  <c r="G84" i="49"/>
  <c r="G86" i="49" l="1"/>
  <c r="O86" i="49" s="1"/>
  <c r="O84"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3" authorId="0" shapeId="0" xr:uid="{725B38AC-7F2C-4FDD-A5B4-14AED7A41964}">
      <text>
        <r>
          <rPr>
            <b/>
            <sz val="9"/>
            <color indexed="81"/>
            <rFont val="Tahoma"/>
            <family val="2"/>
          </rPr>
          <t>Administrator:</t>
        </r>
        <r>
          <rPr>
            <sz val="9"/>
            <color indexed="81"/>
            <rFont val="Tahoma"/>
            <family val="2"/>
          </rPr>
          <t xml:space="preserve">
</t>
        </r>
        <r>
          <rPr>
            <sz val="9"/>
            <color indexed="81"/>
            <rFont val="돋움"/>
            <family val="3"/>
            <charset val="129"/>
          </rPr>
          <t>수식이</t>
        </r>
        <r>
          <rPr>
            <sz val="9"/>
            <color indexed="81"/>
            <rFont val="Tahoma"/>
            <family val="2"/>
          </rPr>
          <t xml:space="preserve"> </t>
        </r>
        <r>
          <rPr>
            <sz val="9"/>
            <color indexed="81"/>
            <rFont val="돋움"/>
            <family val="3"/>
            <charset val="129"/>
          </rPr>
          <t>입력되어</t>
        </r>
        <r>
          <rPr>
            <sz val="9"/>
            <color indexed="81"/>
            <rFont val="Tahoma"/>
            <family val="2"/>
          </rPr>
          <t xml:space="preserve"> </t>
        </r>
        <r>
          <rPr>
            <sz val="9"/>
            <color indexed="81"/>
            <rFont val="돋움"/>
            <family val="3"/>
            <charset val="129"/>
          </rPr>
          <t>있음</t>
        </r>
        <r>
          <rPr>
            <sz val="9"/>
            <color indexed="81"/>
            <rFont val="Tahoma"/>
            <family val="2"/>
          </rPr>
          <t xml:space="preserve">. </t>
        </r>
        <r>
          <rPr>
            <sz val="9"/>
            <color indexed="81"/>
            <rFont val="돋움"/>
            <family val="3"/>
            <charset val="129"/>
          </rPr>
          <t>지워진</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아래</t>
        </r>
        <r>
          <rPr>
            <sz val="9"/>
            <color indexed="81"/>
            <rFont val="Tahoma"/>
            <family val="2"/>
          </rPr>
          <t xml:space="preserve"> </t>
        </r>
        <r>
          <rPr>
            <sz val="9"/>
            <color indexed="81"/>
            <rFont val="돋움"/>
            <family val="3"/>
            <charset val="129"/>
          </rPr>
          <t>수식을</t>
        </r>
        <r>
          <rPr>
            <sz val="9"/>
            <color indexed="81"/>
            <rFont val="Tahoma"/>
            <family val="2"/>
          </rPr>
          <t xml:space="preserve"> </t>
        </r>
        <r>
          <rPr>
            <sz val="9"/>
            <color indexed="81"/>
            <rFont val="돋움"/>
            <family val="3"/>
            <charset val="129"/>
          </rPr>
          <t>활용</t>
        </r>
        <r>
          <rPr>
            <sz val="9"/>
            <color indexed="81"/>
            <rFont val="Tahoma"/>
            <family val="2"/>
          </rPr>
          <t xml:space="preserve">
=IFERROR(VLOOKUP(D7, </t>
        </r>
        <r>
          <rPr>
            <sz val="9"/>
            <color indexed="81"/>
            <rFont val="돋움"/>
            <family val="3"/>
            <charset val="129"/>
          </rPr>
          <t>기본학점</t>
        </r>
        <r>
          <rPr>
            <sz val="9"/>
            <color indexed="81"/>
            <rFont val="Tahoma"/>
            <family val="2"/>
          </rPr>
          <t xml:space="preserve">, 2, FALSE), "")
</t>
        </r>
      </text>
    </comment>
  </commentList>
</comments>
</file>

<file path=xl/sharedStrings.xml><?xml version="1.0" encoding="utf-8"?>
<sst xmlns="http://schemas.openxmlformats.org/spreadsheetml/2006/main" count="622" uniqueCount="318">
  <si>
    <t>2학년</t>
  </si>
  <si>
    <t>3학년</t>
  </si>
  <si>
    <t>1학기</t>
    <phoneticPr fontId="1" type="noConversion"/>
  </si>
  <si>
    <t>교과(군)</t>
    <phoneticPr fontId="1" type="noConversion"/>
  </si>
  <si>
    <t>1학년</t>
    <phoneticPr fontId="1" type="noConversion"/>
  </si>
  <si>
    <t>창의적 체험활동</t>
    <phoneticPr fontId="1" type="noConversion"/>
  </si>
  <si>
    <t>국 어</t>
    <phoneticPr fontId="1" type="noConversion"/>
  </si>
  <si>
    <t>수 학</t>
    <phoneticPr fontId="1" type="noConversion"/>
  </si>
  <si>
    <t>과 학</t>
    <phoneticPr fontId="1" type="noConversion"/>
  </si>
  <si>
    <t>체 육</t>
    <phoneticPr fontId="1" type="noConversion"/>
  </si>
  <si>
    <t>예 술</t>
    <phoneticPr fontId="1" type="noConversion"/>
  </si>
  <si>
    <t>구분</t>
    <phoneticPr fontId="1" type="noConversion"/>
  </si>
  <si>
    <t>과목유형</t>
    <phoneticPr fontId="1" type="noConversion"/>
  </si>
  <si>
    <t>2학기</t>
    <phoneticPr fontId="1" type="noConversion"/>
  </si>
  <si>
    <t>학교지정</t>
    <phoneticPr fontId="1" type="noConversion"/>
  </si>
  <si>
    <t>공통</t>
    <phoneticPr fontId="1" type="noConversion"/>
  </si>
  <si>
    <t>영 어</t>
    <phoneticPr fontId="1" type="noConversion"/>
  </si>
  <si>
    <t>일반</t>
    <phoneticPr fontId="1" type="noConversion"/>
  </si>
  <si>
    <t xml:space="preserve">2
학년선택 </t>
    <phoneticPr fontId="1" type="noConversion"/>
  </si>
  <si>
    <t>진로</t>
    <phoneticPr fontId="1" type="noConversion"/>
  </si>
  <si>
    <t>운영
학점</t>
    <phoneticPr fontId="1" type="noConversion"/>
  </si>
  <si>
    <t>이수
학점</t>
    <phoneticPr fontId="1" type="noConversion"/>
  </si>
  <si>
    <t>필수
이수
학점</t>
    <phoneticPr fontId="1" type="noConversion"/>
  </si>
  <si>
    <t>학기별 총 이수 학점</t>
    <phoneticPr fontId="1" type="noConversion"/>
  </si>
  <si>
    <t>학년별 총 이수 학점</t>
    <phoneticPr fontId="1" type="noConversion"/>
  </si>
  <si>
    <t>공통국어1</t>
  </si>
  <si>
    <t>공통수학1</t>
  </si>
  <si>
    <t>공통영어1</t>
  </si>
  <si>
    <t>문학</t>
  </si>
  <si>
    <t>공통국어2</t>
  </si>
  <si>
    <t>직무 의사소통</t>
  </si>
  <si>
    <t>언어생활 탐구</t>
  </si>
  <si>
    <t>공통수학2</t>
  </si>
  <si>
    <t>확률과 통계</t>
  </si>
  <si>
    <t>직무 수학</t>
  </si>
  <si>
    <t>수학과제 탐구</t>
  </si>
  <si>
    <t>기본수학1</t>
  </si>
  <si>
    <t>기본수학2</t>
  </si>
  <si>
    <t>공통영어2</t>
  </si>
  <si>
    <t>영어 독해와 작문</t>
  </si>
  <si>
    <t>세계 문화와 영어</t>
  </si>
  <si>
    <t>기본영어1</t>
  </si>
  <si>
    <t>기본영어2</t>
  </si>
  <si>
    <t>국제 관계의 이해</t>
  </si>
  <si>
    <t>미술 감상과 비평</t>
  </si>
  <si>
    <t>미술과 매체</t>
  </si>
  <si>
    <t>정보</t>
  </si>
  <si>
    <t>한문</t>
  </si>
  <si>
    <t>한문 고전 읽기</t>
  </si>
  <si>
    <t>언어생활과 한자</t>
  </si>
  <si>
    <t>생태와 환경</t>
  </si>
  <si>
    <t>미적분Ⅰ</t>
    <phoneticPr fontId="1" type="noConversion"/>
  </si>
  <si>
    <t>대수</t>
    <phoneticPr fontId="1" type="noConversion"/>
  </si>
  <si>
    <t>영어Ⅰ</t>
    <phoneticPr fontId="1" type="noConversion"/>
  </si>
  <si>
    <t xml:space="preserve">화법과 언어 </t>
    <phoneticPr fontId="1" type="noConversion"/>
  </si>
  <si>
    <t xml:space="preserve">독서와 작문 </t>
    <phoneticPr fontId="1" type="noConversion"/>
  </si>
  <si>
    <t xml:space="preserve">주제 탐구 독서 </t>
    <phoneticPr fontId="1" type="noConversion"/>
  </si>
  <si>
    <t>독서 토론과 글쓰기</t>
  </si>
  <si>
    <t xml:space="preserve">매체 의사소통 </t>
  </si>
  <si>
    <t xml:space="preserve">수학과 문화 </t>
  </si>
  <si>
    <t>실용 통계</t>
  </si>
  <si>
    <t xml:space="preserve">실생활 영어 회화 </t>
  </si>
  <si>
    <t xml:space="preserve">미디어 영어 </t>
  </si>
  <si>
    <t>세계시민과 지리</t>
  </si>
  <si>
    <t>여행지리</t>
  </si>
  <si>
    <t xml:space="preserve">역학과 에너지 </t>
  </si>
  <si>
    <t>전자기와 양자</t>
  </si>
  <si>
    <t xml:space="preserve">물질과 에너지 </t>
  </si>
  <si>
    <t>음악 연주와 창작</t>
  </si>
  <si>
    <t>음악과 미디어</t>
  </si>
  <si>
    <t>음악 감상과 비평</t>
  </si>
  <si>
    <t xml:space="preserve">미술 창작 </t>
  </si>
  <si>
    <t>창의 공학 설계</t>
  </si>
  <si>
    <t>지식 재산 일반</t>
  </si>
  <si>
    <t xml:space="preserve">진로와 직업 </t>
  </si>
  <si>
    <t>문학과 영상</t>
    <phoneticPr fontId="1" type="noConversion"/>
  </si>
  <si>
    <t>영어Ⅱ</t>
    <phoneticPr fontId="1" type="noConversion"/>
  </si>
  <si>
    <t>영어 발표와 토론</t>
    <phoneticPr fontId="1" type="noConversion"/>
  </si>
  <si>
    <t>인문학과 윤리</t>
    <phoneticPr fontId="1" type="noConversion"/>
  </si>
  <si>
    <t>미술</t>
    <phoneticPr fontId="1" type="noConversion"/>
  </si>
  <si>
    <t>연극</t>
    <phoneticPr fontId="1" type="noConversion"/>
  </si>
  <si>
    <t xml:space="preserve">독일어 </t>
    <phoneticPr fontId="1" type="noConversion"/>
  </si>
  <si>
    <t>일본어 회화</t>
  </si>
  <si>
    <t>아랍어 회화</t>
  </si>
  <si>
    <t>일본 문화</t>
  </si>
  <si>
    <t>아랍 문화</t>
    <phoneticPr fontId="1" type="noConversion"/>
  </si>
  <si>
    <t>인간과 철학</t>
    <phoneticPr fontId="1" type="noConversion"/>
  </si>
  <si>
    <t>인간과 심리</t>
  </si>
  <si>
    <t xml:space="preserve">인간과 경제활동 </t>
  </si>
  <si>
    <t>삶과 종교</t>
    <phoneticPr fontId="1" type="noConversion"/>
  </si>
  <si>
    <t>베트남어</t>
    <phoneticPr fontId="1" type="noConversion"/>
  </si>
  <si>
    <t xml:space="preserve">러시아어 회화 </t>
    <phoneticPr fontId="1" type="noConversion"/>
  </si>
  <si>
    <t>베트남어 회화</t>
    <phoneticPr fontId="1" type="noConversion"/>
  </si>
  <si>
    <t>심화 베트남어</t>
    <phoneticPr fontId="1" type="noConversion"/>
  </si>
  <si>
    <t xml:space="preserve">러시아 문화 </t>
    <phoneticPr fontId="1" type="noConversion"/>
  </si>
  <si>
    <t>베트남 문화</t>
    <phoneticPr fontId="1" type="noConversion"/>
  </si>
  <si>
    <t xml:space="preserve">논리와 사고 </t>
    <phoneticPr fontId="1" type="noConversion"/>
  </si>
  <si>
    <t xml:space="preserve">교육의 이해 </t>
    <phoneticPr fontId="1" type="noConversion"/>
  </si>
  <si>
    <t>보건</t>
    <phoneticPr fontId="1" type="noConversion"/>
  </si>
  <si>
    <t>영미 문학 읽기</t>
    <phoneticPr fontId="1" type="noConversion"/>
  </si>
  <si>
    <t>교양</t>
    <phoneticPr fontId="1" type="noConversion"/>
  </si>
  <si>
    <t>제2외국어/한문</t>
    <phoneticPr fontId="1" type="noConversion"/>
  </si>
  <si>
    <t>기하</t>
    <phoneticPr fontId="1" type="noConversion"/>
  </si>
  <si>
    <t>미적분Ⅱ</t>
    <phoneticPr fontId="1" type="noConversion"/>
  </si>
  <si>
    <t>인공지능 수학</t>
    <phoneticPr fontId="1" type="noConversion"/>
  </si>
  <si>
    <t>경제 수학</t>
    <phoneticPr fontId="1" type="noConversion"/>
  </si>
  <si>
    <t>스포츠 문화</t>
    <phoneticPr fontId="1" type="noConversion"/>
  </si>
  <si>
    <t>스포츠 과학</t>
    <phoneticPr fontId="1" type="noConversion"/>
  </si>
  <si>
    <t xml:space="preserve">생애 설계와 자립 </t>
    <phoneticPr fontId="1" type="noConversion"/>
  </si>
  <si>
    <t>기술∙가정</t>
    <phoneticPr fontId="1" type="noConversion"/>
  </si>
  <si>
    <t>융합</t>
    <phoneticPr fontId="1" type="noConversion"/>
  </si>
  <si>
    <t>한국사1</t>
    <phoneticPr fontId="1" type="noConversion"/>
  </si>
  <si>
    <t>한국사2</t>
    <phoneticPr fontId="1" type="noConversion"/>
  </si>
  <si>
    <t>통합사회1</t>
    <phoneticPr fontId="1" type="noConversion"/>
  </si>
  <si>
    <t>통합사회2</t>
    <phoneticPr fontId="1" type="noConversion"/>
  </si>
  <si>
    <t>통합과학1</t>
    <phoneticPr fontId="1" type="noConversion"/>
  </si>
  <si>
    <t>통합과학2</t>
    <phoneticPr fontId="1" type="noConversion"/>
  </si>
  <si>
    <t>과학탐구실험1</t>
    <phoneticPr fontId="1" type="noConversion"/>
  </si>
  <si>
    <t>과학탐구실험2</t>
    <phoneticPr fontId="1" type="noConversion"/>
  </si>
  <si>
    <t>세계사</t>
  </si>
  <si>
    <t>사회와 문화</t>
  </si>
  <si>
    <t>현대사회와 윤리</t>
  </si>
  <si>
    <t>물리학</t>
    <phoneticPr fontId="1" type="noConversion"/>
  </si>
  <si>
    <t>화학</t>
    <phoneticPr fontId="1" type="noConversion"/>
  </si>
  <si>
    <t xml:space="preserve">생명과학 </t>
    <phoneticPr fontId="1" type="noConversion"/>
  </si>
  <si>
    <t>지구과학</t>
    <phoneticPr fontId="1" type="noConversion"/>
  </si>
  <si>
    <t>체육1</t>
    <phoneticPr fontId="1" type="noConversion"/>
  </si>
  <si>
    <t>체육2</t>
    <phoneticPr fontId="1" type="noConversion"/>
  </si>
  <si>
    <t>음악</t>
    <phoneticPr fontId="1" type="noConversion"/>
  </si>
  <si>
    <t>프랑스어</t>
    <phoneticPr fontId="1" type="noConversion"/>
  </si>
  <si>
    <t>스페인어</t>
  </si>
  <si>
    <t>중국어</t>
    <phoneticPr fontId="1" type="noConversion"/>
  </si>
  <si>
    <t xml:space="preserve">일본어 </t>
    <phoneticPr fontId="1" type="noConversion"/>
  </si>
  <si>
    <t>러시아어</t>
  </si>
  <si>
    <t>아랍어</t>
    <phoneticPr fontId="1" type="noConversion"/>
  </si>
  <si>
    <t xml:space="preserve">심화 영어 </t>
    <phoneticPr fontId="1" type="noConversion"/>
  </si>
  <si>
    <t xml:space="preserve">심화 영어 독해와 작문 </t>
    <phoneticPr fontId="1" type="noConversion"/>
  </si>
  <si>
    <t>직무 영어</t>
  </si>
  <si>
    <t>한국지리 탐구</t>
    <phoneticPr fontId="1" type="noConversion"/>
  </si>
  <si>
    <t xml:space="preserve">도시의 미래 탐구 </t>
    <phoneticPr fontId="1" type="noConversion"/>
  </si>
  <si>
    <t>동아시아 역사 기행</t>
  </si>
  <si>
    <t>정치</t>
    <phoneticPr fontId="1" type="noConversion"/>
  </si>
  <si>
    <t xml:space="preserve">법과 사회 </t>
    <phoneticPr fontId="1" type="noConversion"/>
  </si>
  <si>
    <t>경제</t>
  </si>
  <si>
    <t xml:space="preserve">윤리와 사상 </t>
    <phoneticPr fontId="1" type="noConversion"/>
  </si>
  <si>
    <t>화학 반응의 세계</t>
  </si>
  <si>
    <t xml:space="preserve">세포와 물질대사 </t>
  </si>
  <si>
    <t>생물의 유전</t>
  </si>
  <si>
    <t xml:space="preserve">지구시스템과학 </t>
  </si>
  <si>
    <t>행성우주과학</t>
  </si>
  <si>
    <t xml:space="preserve">운동과 건강 </t>
  </si>
  <si>
    <t>로봇과 공학세계</t>
    <phoneticPr fontId="1" type="noConversion"/>
  </si>
  <si>
    <t>생활과학 탐구</t>
  </si>
  <si>
    <t xml:space="preserve">인공지능 기초 </t>
  </si>
  <si>
    <t>데이터 과학</t>
  </si>
  <si>
    <t>독일어 회화</t>
  </si>
  <si>
    <t xml:space="preserve">프랑스어 회화 </t>
    <phoneticPr fontId="1" type="noConversion"/>
  </si>
  <si>
    <t>스페인어 회화</t>
  </si>
  <si>
    <t xml:space="preserve">중국어 회화 </t>
    <phoneticPr fontId="1" type="noConversion"/>
  </si>
  <si>
    <t>역사로 탐구하는 현대 세계</t>
  </si>
  <si>
    <t>사회문제 탐구</t>
  </si>
  <si>
    <t>금융과 경제생활</t>
  </si>
  <si>
    <t>윤리문제 탐구</t>
  </si>
  <si>
    <t>기후변화와 지속가능한 세계</t>
  </si>
  <si>
    <t>과학의 역사와 문화</t>
  </si>
  <si>
    <t>기후변화와 환경생태</t>
  </si>
  <si>
    <t>융합과학 탐구</t>
  </si>
  <si>
    <t xml:space="preserve">스포츠 생활1 </t>
  </si>
  <si>
    <t xml:space="preserve">스포츠 생활2 </t>
  </si>
  <si>
    <t>아동발달과 부모</t>
  </si>
  <si>
    <t>소프트웨어와 생활</t>
    <phoneticPr fontId="1" type="noConversion"/>
  </si>
  <si>
    <t>독일어권 문화</t>
  </si>
  <si>
    <t>프랑스어권 문화</t>
    <phoneticPr fontId="1" type="noConversion"/>
  </si>
  <si>
    <t>스페인어권 문화</t>
  </si>
  <si>
    <t xml:space="preserve">중국 문화 </t>
    <phoneticPr fontId="1" type="noConversion"/>
  </si>
  <si>
    <t>논술</t>
    <phoneticPr fontId="1" type="noConversion"/>
  </si>
  <si>
    <t>심화 독일어</t>
  </si>
  <si>
    <t xml:space="preserve">심화 프랑스어 </t>
    <phoneticPr fontId="1" type="noConversion"/>
  </si>
  <si>
    <t>심화 스페인어</t>
  </si>
  <si>
    <t xml:space="preserve">심화 중국어 </t>
    <phoneticPr fontId="1" type="noConversion"/>
  </si>
  <si>
    <t>심화 일본어</t>
  </si>
  <si>
    <t xml:space="preserve">심화 러시아어 </t>
    <phoneticPr fontId="1" type="noConversion"/>
  </si>
  <si>
    <t>심화 아랍어</t>
  </si>
  <si>
    <t>사 회
(역사/도덕 포함)</t>
    <phoneticPr fontId="1" type="noConversion"/>
  </si>
  <si>
    <t>교과 이수 학점 소계</t>
    <phoneticPr fontId="1" type="noConversion"/>
  </si>
  <si>
    <t>학기당 이수 과목 수</t>
    <phoneticPr fontId="1" type="noConversion"/>
  </si>
  <si>
    <t>기술∙가정/정보</t>
  </si>
  <si>
    <t>교 양</t>
  </si>
  <si>
    <t>교 양</t>
    <phoneticPr fontId="1" type="noConversion"/>
  </si>
  <si>
    <t>입력용 
교과(군)</t>
    <phoneticPr fontId="1" type="noConversion"/>
  </si>
  <si>
    <t>국어</t>
    <phoneticPr fontId="1" type="noConversion"/>
  </si>
  <si>
    <t>수학</t>
    <phoneticPr fontId="1" type="noConversion"/>
  </si>
  <si>
    <t>영어</t>
    <phoneticPr fontId="1" type="noConversion"/>
  </si>
  <si>
    <t>사회</t>
    <phoneticPr fontId="1" type="noConversion"/>
  </si>
  <si>
    <t>과학</t>
    <phoneticPr fontId="1" type="noConversion"/>
  </si>
  <si>
    <t>체육</t>
    <phoneticPr fontId="1" type="noConversion"/>
  </si>
  <si>
    <t>예술</t>
    <phoneticPr fontId="1" type="noConversion"/>
  </si>
  <si>
    <t>기가정</t>
    <phoneticPr fontId="1" type="noConversion"/>
  </si>
  <si>
    <t>외한</t>
    <phoneticPr fontId="1" type="noConversion"/>
  </si>
  <si>
    <t>국어공통</t>
    <phoneticPr fontId="1" type="noConversion"/>
  </si>
  <si>
    <t>국어일반</t>
    <phoneticPr fontId="1" type="noConversion"/>
  </si>
  <si>
    <t>국어진로</t>
    <phoneticPr fontId="1" type="noConversion"/>
  </si>
  <si>
    <t>국어융합</t>
    <phoneticPr fontId="1" type="noConversion"/>
  </si>
  <si>
    <t>수학공통</t>
    <phoneticPr fontId="1" type="noConversion"/>
  </si>
  <si>
    <t>수학일반</t>
    <phoneticPr fontId="1" type="noConversion"/>
  </si>
  <si>
    <t>수학진로</t>
    <phoneticPr fontId="1" type="noConversion"/>
  </si>
  <si>
    <t>수학융합</t>
    <phoneticPr fontId="1" type="noConversion"/>
  </si>
  <si>
    <t>영어공통</t>
    <phoneticPr fontId="1" type="noConversion"/>
  </si>
  <si>
    <t>영어일반</t>
    <phoneticPr fontId="1" type="noConversion"/>
  </si>
  <si>
    <t>영어진로</t>
    <phoneticPr fontId="1" type="noConversion"/>
  </si>
  <si>
    <t>영어융합</t>
    <phoneticPr fontId="1" type="noConversion"/>
  </si>
  <si>
    <t>사회공통</t>
    <phoneticPr fontId="1" type="noConversion"/>
  </si>
  <si>
    <t>사회일반</t>
    <phoneticPr fontId="1" type="noConversion"/>
  </si>
  <si>
    <t>사회진로</t>
    <phoneticPr fontId="1" type="noConversion"/>
  </si>
  <si>
    <t>사회융합</t>
    <phoneticPr fontId="1" type="noConversion"/>
  </si>
  <si>
    <t>과학공통</t>
    <phoneticPr fontId="1" type="noConversion"/>
  </si>
  <si>
    <t>과학일반</t>
    <phoneticPr fontId="1" type="noConversion"/>
  </si>
  <si>
    <t>과학진로</t>
    <phoneticPr fontId="1" type="noConversion"/>
  </si>
  <si>
    <t>과학융합</t>
    <phoneticPr fontId="1" type="noConversion"/>
  </si>
  <si>
    <t>체육일반</t>
    <phoneticPr fontId="1" type="noConversion"/>
  </si>
  <si>
    <t>체육진로</t>
    <phoneticPr fontId="1" type="noConversion"/>
  </si>
  <si>
    <t>체육융합</t>
    <phoneticPr fontId="1" type="noConversion"/>
  </si>
  <si>
    <t>예술일반</t>
    <phoneticPr fontId="1" type="noConversion"/>
  </si>
  <si>
    <t>예술진로</t>
    <phoneticPr fontId="1" type="noConversion"/>
  </si>
  <si>
    <t>예술융합</t>
    <phoneticPr fontId="1" type="noConversion"/>
  </si>
  <si>
    <t>기가정일반</t>
    <phoneticPr fontId="1" type="noConversion"/>
  </si>
  <si>
    <t>기가정진로</t>
    <phoneticPr fontId="1" type="noConversion"/>
  </si>
  <si>
    <t>기가정융합</t>
    <phoneticPr fontId="1" type="noConversion"/>
  </si>
  <si>
    <t>외한일반</t>
    <phoneticPr fontId="1" type="noConversion"/>
  </si>
  <si>
    <t>외한진로</t>
    <phoneticPr fontId="1" type="noConversion"/>
  </si>
  <si>
    <t>외한융합</t>
    <phoneticPr fontId="1" type="noConversion"/>
  </si>
  <si>
    <t>교양일반</t>
    <phoneticPr fontId="1" type="noConversion"/>
  </si>
  <si>
    <t>교양진로</t>
    <phoneticPr fontId="1" type="noConversion"/>
  </si>
  <si>
    <t>교양융합</t>
    <phoneticPr fontId="1" type="noConversion"/>
  </si>
  <si>
    <t>과목명</t>
    <phoneticPr fontId="1" type="noConversion"/>
  </si>
  <si>
    <t>허용하한</t>
    <phoneticPr fontId="1" type="noConversion"/>
  </si>
  <si>
    <t>허용상한</t>
    <phoneticPr fontId="1" type="noConversion"/>
  </si>
  <si>
    <t>목록이름</t>
    <phoneticPr fontId="1" type="noConversion"/>
  </si>
  <si>
    <t>과목유형</t>
    <phoneticPr fontId="1" type="noConversion"/>
  </si>
  <si>
    <t>과목유형2</t>
    <phoneticPr fontId="1" type="noConversion"/>
  </si>
  <si>
    <t>과 학</t>
  </si>
  <si>
    <t>제2외국어/한문</t>
  </si>
  <si>
    <t>과목 개설 유형</t>
    <phoneticPr fontId="1" type="noConversion"/>
  </si>
  <si>
    <t>비고</t>
    <phoneticPr fontId="1" type="noConversion"/>
  </si>
  <si>
    <t>비고</t>
    <phoneticPr fontId="1" type="noConversion"/>
  </si>
  <si>
    <t>특목고 선택 과목</t>
    <phoneticPr fontId="1" type="noConversion"/>
  </si>
  <si>
    <t>전문 교과</t>
    <phoneticPr fontId="1" type="noConversion"/>
  </si>
  <si>
    <t>교육감 승인 과목</t>
    <phoneticPr fontId="1" type="noConversion"/>
  </si>
  <si>
    <t>교육감 승인 과목(특목고)</t>
    <phoneticPr fontId="1" type="noConversion"/>
  </si>
  <si>
    <t>교육감 승인 과목(전문)</t>
    <phoneticPr fontId="1" type="noConversion"/>
  </si>
  <si>
    <t>타 시·도 교육감 승인 과목</t>
    <phoneticPr fontId="1" type="noConversion"/>
  </si>
  <si>
    <t>타 시·도 교육감 승인 과목(특목고)</t>
    <phoneticPr fontId="1" type="noConversion"/>
  </si>
  <si>
    <t>타 시·도 교육감 승인 과목(전문)</t>
    <phoneticPr fontId="1" type="noConversion"/>
  </si>
  <si>
    <t>공유캠퍼스</t>
    <phoneticPr fontId="1" type="noConversion"/>
  </si>
  <si>
    <t>온라인학교</t>
    <phoneticPr fontId="1" type="noConversion"/>
  </si>
  <si>
    <t>학교 밖 교육</t>
    <phoneticPr fontId="1" type="noConversion"/>
  </si>
  <si>
    <t>2026학년도 입학(2022 개정 교육과정 적용)</t>
    <phoneticPr fontId="1" type="noConversion"/>
  </si>
  <si>
    <t>과목</t>
    <phoneticPr fontId="1" type="noConversion"/>
  </si>
  <si>
    <t>국 어</t>
  </si>
  <si>
    <t>기본
학점</t>
    <phoneticPr fontId="1" type="noConversion"/>
  </si>
  <si>
    <t>과목 
유형</t>
    <phoneticPr fontId="1" type="noConversion"/>
  </si>
  <si>
    <t>기본학점</t>
    <phoneticPr fontId="1" type="noConversion"/>
  </si>
  <si>
    <t>숭의여자고등학교 교육과정 학점 배당표(과학중점과정)</t>
    <phoneticPr fontId="1" type="noConversion"/>
  </si>
  <si>
    <t>공통</t>
  </si>
  <si>
    <t>일반</t>
  </si>
  <si>
    <t>융합</t>
  </si>
  <si>
    <t xml:space="preserve">화법과 언어 </t>
  </si>
  <si>
    <t xml:space="preserve">독서와 작문 </t>
  </si>
  <si>
    <t>대수</t>
  </si>
  <si>
    <t>미적분Ⅰ</t>
  </si>
  <si>
    <t>진로</t>
  </si>
  <si>
    <t>영어Ⅰ</t>
  </si>
  <si>
    <t>영어Ⅱ</t>
  </si>
  <si>
    <t xml:space="preserve">심화 영어 독해와 작문 </t>
  </si>
  <si>
    <t>한국사1</t>
  </si>
  <si>
    <t>한국사2</t>
  </si>
  <si>
    <t>통합사회1</t>
  </si>
  <si>
    <t>통합사회2</t>
  </si>
  <si>
    <t>통합과학1</t>
  </si>
  <si>
    <t>통합과학2</t>
  </si>
  <si>
    <t>과학탐구실험1</t>
  </si>
  <si>
    <t>과학탐구실험2</t>
  </si>
  <si>
    <t>스포츠 문화</t>
  </si>
  <si>
    <t>스포츠 과학</t>
  </si>
  <si>
    <t>체육1</t>
  </si>
  <si>
    <t>체육2</t>
  </si>
  <si>
    <t>음악</t>
  </si>
  <si>
    <t>미술</t>
  </si>
  <si>
    <t>[3]</t>
    <phoneticPr fontId="1" type="noConversion"/>
  </si>
  <si>
    <t>수 학</t>
  </si>
  <si>
    <t>3
학년선택</t>
    <phoneticPr fontId="1" type="noConversion"/>
  </si>
  <si>
    <t>물리학</t>
  </si>
  <si>
    <t>화학</t>
  </si>
  <si>
    <t xml:space="preserve">생명과학 </t>
  </si>
  <si>
    <t>지구과학</t>
  </si>
  <si>
    <t>중국어</t>
  </si>
  <si>
    <t xml:space="preserve">일본어 </t>
  </si>
  <si>
    <t>9
(택3)</t>
    <phoneticPr fontId="1" type="noConversion"/>
  </si>
  <si>
    <t>3
(택1)</t>
    <phoneticPr fontId="1" type="noConversion"/>
  </si>
  <si>
    <t>1
(택1)</t>
    <phoneticPr fontId="1" type="noConversion"/>
  </si>
  <si>
    <t>기하</t>
  </si>
  <si>
    <t>경제 수학</t>
  </si>
  <si>
    <t>현대 사회와 종교</t>
    <phoneticPr fontId="1" type="noConversion"/>
  </si>
  <si>
    <t>12
(택4)</t>
    <phoneticPr fontId="1" type="noConversion"/>
  </si>
  <si>
    <t>미적분Ⅱ</t>
  </si>
  <si>
    <t>인공지능 수학</t>
  </si>
  <si>
    <t>종교와 공동체</t>
    <phoneticPr fontId="1" type="noConversion"/>
  </si>
  <si>
    <t xml:space="preserve">중국 문화 </t>
  </si>
  <si>
    <t>15
(택5)</t>
    <phoneticPr fontId="1" type="noConversion"/>
  </si>
  <si>
    <t>타 시·도 교육감 승인 과목</t>
  </si>
  <si>
    <t>사랑의 이해</t>
    <phoneticPr fontId="1" type="noConversion"/>
  </si>
  <si>
    <t>교육감 승인 과목</t>
  </si>
  <si>
    <t>비판적 질문과 창의적 해결</t>
    <phoneticPr fontId="1" type="noConversion"/>
  </si>
  <si>
    <t>고전으로 만나는 학문의 처음</t>
    <phoneticPr fontId="1" type="noConversion"/>
  </si>
  <si>
    <t>인문학적 통찰력</t>
    <phoneticPr fontId="1" type="noConversion"/>
  </si>
  <si>
    <t>종교와 미래 사회</t>
    <phoneticPr fontId="1" type="noConversion"/>
  </si>
  <si>
    <t>※ 유의사항
 1. 과학중점과정은 3년간 수학, 과학 관련 교과에서 교과 총 이수 학점의 45% 이상(79학점 이상) 이수해야 함
  - 본교 81학점 개설
     1~3학년 학교지정 : 수학 23 + 과학 10 + 정보 3 = 36학점
     2학년 선택 : 수학/과학/정보 21학점
     3학년 선택 : 수학/과학/정보 24학점
 2.  3개년 간 국어, 수학, 영어의 이수 학점 수 81학점까지 수강 가능(교과 이수 학점이 174학점을 초과하는 경우에는 초과 이수 학점의 50%를 넘지 않도록 함)
    - 본교는 국수영 교과에서 총 69학점을 학교 지정으로 편성했기 때문에 2, 3학년 국수영 선택 교과목에서 12학점(3학점 짜리 최대 4개까지만 선택 가능)을 초과하여 신청 불가
 3. 2개 학기에 편성된 동일 과목의 경우 중복 이수 불가
 4. (기술·가정/정보,제2외국어/한문/교양) 2, 3학년에서 기술·가정/정보, 제2외국어/한문/교양 교과 과목을 10학점 이상 선택해야 함(3년간 필수 이수 총 16 학점)
 5. 정보 관련 교과 중 2과목 또는 4학점 이상 이수 - 본교는 3학점짜리로 정보 관련 과목을 모두 개설했기 때문에  2, 3학년 선택과목 중 정보 관련 과목(인공지능 기초, 데이터 과학) 중 1과목 이상을 반드시 이수해야 함</t>
    <phoneticPr fontId="1" type="noConversion"/>
  </si>
  <si>
    <t>종교와 생활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</si>
</sst>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name val="돋움"/>
      <family val="3"/>
      <charset val="129"/>
    </font>
    <font>
      <sz val="8"/>
      <name val="돋움"/>
      <family val="3"/>
      <charset val="129"/>
    </font>
    <font>
      <sz val="11"/>
      <name val="맑은 고딕"/>
      <family val="3"/>
      <charset val="129"/>
      <scheme val="minor"/>
    </font>
    <font>
      <b/>
      <sz val="10"/>
      <name val="맑은 고딕"/>
      <family val="3"/>
      <charset val="129"/>
      <scheme val="minor"/>
    </font>
    <font>
      <sz val="10"/>
      <color indexed="10"/>
      <name val="맑은 고딕"/>
      <family val="3"/>
      <charset val="129"/>
      <scheme val="minor"/>
    </font>
    <font>
      <sz val="10"/>
      <name val="맑은 고딕"/>
      <family val="3"/>
      <charset val="129"/>
      <scheme val="minor"/>
    </font>
    <font>
      <b/>
      <sz val="12"/>
      <name val="맑은 고딕"/>
      <family val="3"/>
      <charset val="129"/>
      <scheme val="minor"/>
    </font>
    <font>
      <b/>
      <sz val="18"/>
      <name val="맑은 고딕"/>
      <family val="3"/>
      <charset val="129"/>
      <scheme val="minor"/>
    </font>
    <font>
      <b/>
      <sz val="11"/>
      <name val="돋움"/>
      <family val="3"/>
      <charset val="129"/>
    </font>
    <font>
      <b/>
      <sz val="10"/>
      <color rgb="FF0000FF"/>
      <name val="맑은 고딕"/>
      <family val="3"/>
      <charset val="129"/>
      <scheme val="minor"/>
    </font>
    <font>
      <i/>
      <sz val="10"/>
      <color rgb="FFFF0000"/>
      <name val="맑은 고딕"/>
      <family val="3"/>
      <charset val="129"/>
      <scheme val="minor"/>
    </font>
    <font>
      <b/>
      <sz val="10"/>
      <color theme="1"/>
      <name val="맑은 고딕"/>
      <family val="3"/>
      <charset val="129"/>
      <scheme val="minor"/>
    </font>
    <font>
      <sz val="10"/>
      <color theme="1"/>
      <name val="맑은 고딕"/>
      <family val="3"/>
      <charset val="129"/>
      <scheme val="minor"/>
    </font>
    <font>
      <sz val="10"/>
      <name val="돋움"/>
      <family val="3"/>
      <charset val="129"/>
    </font>
    <font>
      <sz val="10"/>
      <color rgb="FF000000"/>
      <name val="돋움"/>
      <family val="3"/>
      <charset val="129"/>
    </font>
    <font>
      <sz val="10"/>
      <color theme="1"/>
      <name val="돋움"/>
      <family val="3"/>
      <charset val="129"/>
    </font>
    <font>
      <sz val="10"/>
      <color rgb="FFFF0000"/>
      <name val="돋움"/>
      <family val="3"/>
      <charset val="129"/>
    </font>
    <font>
      <sz val="9"/>
      <color indexed="81"/>
      <name val="Tahoma"/>
      <family val="2"/>
    </font>
    <font>
      <b/>
      <sz val="9"/>
      <color indexed="81"/>
      <name val="Tahoma"/>
      <family val="2"/>
    </font>
    <font>
      <sz val="9"/>
      <color indexed="81"/>
      <name val="돋움"/>
      <family val="3"/>
      <charset val="129"/>
    </font>
    <font>
      <b/>
      <sz val="9"/>
      <color theme="1"/>
      <name val="맑은 고딕"/>
      <family val="3"/>
      <charset val="129"/>
      <scheme val="minor"/>
    </font>
    <font>
      <sz val="9"/>
      <color theme="1"/>
      <name val="맑은 고딕"/>
      <family val="3"/>
      <charset val="129"/>
      <scheme val="minor"/>
    </font>
    <font>
      <sz val="9"/>
      <name val="돋움"/>
      <family val="3"/>
      <charset val="129"/>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4FBCD"/>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6795556505021"/>
        <bgColor indexed="64"/>
      </patternFill>
    </fill>
  </fills>
  <borders count="11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medium">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medium">
        <color indexed="64"/>
      </top>
      <bottom/>
      <diagonal/>
    </border>
    <border>
      <left style="hair">
        <color indexed="64"/>
      </left>
      <right style="thin">
        <color indexed="64"/>
      </right>
      <top/>
      <bottom/>
      <diagonal/>
    </border>
    <border>
      <left style="thin">
        <color indexed="64"/>
      </left>
      <right style="hair">
        <color indexed="64"/>
      </right>
      <top/>
      <bottom/>
      <diagonal/>
    </border>
    <border>
      <left style="medium">
        <color indexed="64"/>
      </left>
      <right/>
      <top style="medium">
        <color indexed="64"/>
      </top>
      <bottom/>
      <diagonal/>
    </border>
    <border>
      <left style="thin">
        <color indexed="64"/>
      </left>
      <right style="hair">
        <color indexed="64"/>
      </right>
      <top style="medium">
        <color indexed="64"/>
      </top>
      <bottom/>
      <diagonal/>
    </border>
    <border>
      <left style="hair">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diagonal/>
    </border>
    <border>
      <left/>
      <right style="thin">
        <color indexed="64"/>
      </right>
      <top style="hair">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hair">
        <color indexed="64"/>
      </right>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hair">
        <color indexed="64"/>
      </top>
      <bottom style="hair">
        <color indexed="64"/>
      </bottom>
      <diagonal/>
    </border>
    <border>
      <left/>
      <right/>
      <top/>
      <bottom style="hair">
        <color indexed="64"/>
      </bottom>
      <diagonal/>
    </border>
    <border>
      <left/>
      <right style="thin">
        <color indexed="64"/>
      </right>
      <top style="hair">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hair">
        <color indexed="64"/>
      </top>
      <bottom style="thin">
        <color indexed="64"/>
      </bottom>
      <diagonal/>
    </border>
    <border>
      <left/>
      <right/>
      <top style="thin">
        <color indexed="64"/>
      </top>
      <bottom style="hair">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hair">
        <color indexed="64"/>
      </right>
      <top style="medium">
        <color indexed="64"/>
      </top>
      <bottom style="hair">
        <color indexed="64"/>
      </bottom>
      <diagonal/>
    </border>
    <border>
      <left style="thin">
        <color indexed="64"/>
      </left>
      <right style="thin">
        <color indexed="64"/>
      </right>
      <top style="thin">
        <color indexed="64"/>
      </top>
      <bottom/>
      <diagonal/>
    </border>
    <border>
      <left style="hair">
        <color indexed="64"/>
      </left>
      <right style="thin">
        <color rgb="FF000000"/>
      </right>
      <top style="hair">
        <color indexed="64"/>
      </top>
      <bottom style="hair">
        <color indexed="64"/>
      </bottom>
      <diagonal/>
    </border>
    <border>
      <left style="hair">
        <color indexed="64"/>
      </left>
      <right style="thin">
        <color rgb="FF000000"/>
      </right>
      <top style="thin">
        <color indexed="64"/>
      </top>
      <bottom style="hair">
        <color indexed="64"/>
      </bottom>
      <diagonal/>
    </border>
    <border>
      <left style="hair">
        <color indexed="64"/>
      </left>
      <right style="thin">
        <color rgb="FF000000"/>
      </right>
      <top style="hair">
        <color indexed="64"/>
      </top>
      <bottom style="thin">
        <color indexed="64"/>
      </bottom>
      <diagonal/>
    </border>
    <border>
      <left style="hair">
        <color indexed="64"/>
      </left>
      <right style="thin">
        <color rgb="FF000000"/>
      </right>
      <top style="medium">
        <color indexed="64"/>
      </top>
      <bottom style="hair">
        <color indexed="64"/>
      </bottom>
      <diagonal/>
    </border>
    <border>
      <left style="hair">
        <color indexed="64"/>
      </left>
      <right style="thin">
        <color rgb="FF000000"/>
      </right>
      <top style="hair">
        <color indexed="64"/>
      </top>
      <bottom style="medium">
        <color indexed="64"/>
      </bottom>
      <diagonal/>
    </border>
    <border>
      <left style="hair">
        <color indexed="64"/>
      </left>
      <right style="thin">
        <color rgb="FF000000"/>
      </right>
      <top/>
      <bottom style="thin">
        <color indexed="64"/>
      </bottom>
      <diagonal/>
    </border>
    <border>
      <left style="thin">
        <color indexed="64"/>
      </left>
      <right style="hair">
        <color indexed="64"/>
      </right>
      <top/>
      <bottom style="thin">
        <color indexed="64"/>
      </bottom>
      <diagonal/>
    </border>
    <border>
      <left style="thin">
        <color rgb="FF000000"/>
      </left>
      <right style="hair">
        <color indexed="64"/>
      </right>
      <top style="medium">
        <color indexed="64"/>
      </top>
      <bottom/>
      <diagonal/>
    </border>
    <border>
      <left style="thin">
        <color rgb="FF000000"/>
      </left>
      <right style="hair">
        <color indexed="64"/>
      </right>
      <top/>
      <bottom/>
      <diagonal/>
    </border>
    <border>
      <left style="thin">
        <color rgb="FF000000"/>
      </left>
      <right style="hair">
        <color indexed="64"/>
      </right>
      <top/>
      <bottom style="thin">
        <color indexed="64"/>
      </bottom>
      <diagonal/>
    </border>
    <border>
      <left style="thin">
        <color rgb="FF000000"/>
      </left>
      <right style="hair">
        <color indexed="64"/>
      </right>
      <top style="thin">
        <color indexed="64"/>
      </top>
      <bottom/>
      <diagonal/>
    </border>
    <border>
      <left style="thin">
        <color rgb="FF000000"/>
      </left>
      <right style="hair">
        <color indexed="64"/>
      </right>
      <top/>
      <bottom style="medium">
        <color indexed="64"/>
      </bottom>
      <diagonal/>
    </border>
    <border>
      <left style="thin">
        <color indexed="64"/>
      </left>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325">
    <xf numFmtId="0" fontId="0" fillId="0" borderId="0" xfId="0"/>
    <xf numFmtId="0" fontId="5" fillId="0" borderId="0" xfId="0" applyFont="1" applyAlignment="1">
      <alignment horizontal="center" vertical="center" wrapText="1"/>
    </xf>
    <xf numFmtId="0" fontId="4" fillId="0" borderId="9" xfId="0" applyFont="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12" fillId="0" borderId="31" xfId="0" applyFont="1" applyBorder="1" applyAlignment="1">
      <alignment horizontal="center" vertical="center" wrapText="1"/>
    </xf>
    <xf numFmtId="0" fontId="12" fillId="0" borderId="36" xfId="0" applyFont="1" applyBorder="1" applyAlignment="1">
      <alignment horizontal="center" vertical="center" wrapText="1"/>
    </xf>
    <xf numFmtId="49" fontId="12" fillId="0" borderId="17" xfId="0" applyNumberFormat="1" applyFont="1" applyBorder="1" applyAlignment="1">
      <alignment horizontal="center" vertical="center" wrapText="1"/>
    </xf>
    <xf numFmtId="0" fontId="12" fillId="0" borderId="18"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27" xfId="0" applyFont="1" applyBorder="1" applyAlignment="1">
      <alignment horizontal="center" vertical="center" wrapText="1"/>
    </xf>
    <xf numFmtId="49" fontId="12" fillId="0" borderId="21" xfId="0" applyNumberFormat="1" applyFont="1" applyBorder="1" applyAlignment="1">
      <alignment horizontal="center" vertical="center" wrapText="1"/>
    </xf>
    <xf numFmtId="49" fontId="12" fillId="0" borderId="19" xfId="0" applyNumberFormat="1" applyFont="1" applyBorder="1" applyAlignment="1">
      <alignment horizontal="center" vertical="center" wrapText="1"/>
    </xf>
    <xf numFmtId="0" fontId="12" fillId="0" borderId="20"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26" xfId="0" applyFont="1" applyBorder="1" applyAlignment="1">
      <alignment horizontal="center" vertical="center" wrapText="1"/>
    </xf>
    <xf numFmtId="49" fontId="12" fillId="0" borderId="57" xfId="0" applyNumberFormat="1" applyFont="1" applyBorder="1" applyAlignment="1">
      <alignment horizontal="center" vertical="center" wrapText="1"/>
    </xf>
    <xf numFmtId="0" fontId="12" fillId="0" borderId="60" xfId="0" applyFont="1" applyBorder="1" applyAlignment="1">
      <alignment horizontal="center" vertical="center" wrapText="1"/>
    </xf>
    <xf numFmtId="0" fontId="12" fillId="0" borderId="59" xfId="0" applyFont="1" applyBorder="1" applyAlignment="1">
      <alignment horizontal="center" vertical="center" wrapText="1"/>
    </xf>
    <xf numFmtId="49" fontId="12" fillId="0" borderId="8"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74" xfId="0" applyFont="1" applyBorder="1" applyAlignment="1">
      <alignment horizontal="center" vertical="center" wrapText="1"/>
    </xf>
    <xf numFmtId="0" fontId="12" fillId="0" borderId="42" xfId="0" quotePrefix="1" applyFont="1" applyBorder="1" applyAlignment="1">
      <alignment horizontal="center" vertical="center" wrapText="1"/>
    </xf>
    <xf numFmtId="49" fontId="12" fillId="0" borderId="15" xfId="0" applyNumberFormat="1" applyFont="1" applyBorder="1" applyAlignment="1">
      <alignment horizontal="center" vertical="center" wrapText="1"/>
    </xf>
    <xf numFmtId="0" fontId="12" fillId="0" borderId="25" xfId="0" applyFont="1" applyBorder="1" applyAlignment="1">
      <alignment horizontal="center" vertical="center" wrapText="1"/>
    </xf>
    <xf numFmtId="0" fontId="12" fillId="0" borderId="41" xfId="0" quotePrefix="1" applyFont="1" applyBorder="1" applyAlignment="1">
      <alignment horizontal="center" vertical="center" wrapText="1"/>
    </xf>
    <xf numFmtId="0" fontId="12" fillId="0" borderId="37" xfId="0" quotePrefix="1" applyFont="1" applyBorder="1" applyAlignment="1">
      <alignment horizontal="center" vertical="center" wrapText="1"/>
    </xf>
    <xf numFmtId="0" fontId="11" fillId="2" borderId="40"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2" fillId="0" borderId="18" xfId="0" quotePrefix="1" applyFont="1" applyBorder="1" applyAlignment="1">
      <alignment horizontal="center" vertical="center" wrapText="1"/>
    </xf>
    <xf numFmtId="0" fontId="12" fillId="0" borderId="20" xfId="0" quotePrefix="1" applyFont="1" applyBorder="1" applyAlignment="1">
      <alignment horizontal="center" vertical="center" wrapText="1"/>
    </xf>
    <xf numFmtId="0" fontId="12" fillId="0" borderId="44" xfId="0" applyFont="1" applyBorder="1" applyAlignment="1">
      <alignment horizontal="center" vertical="center" wrapText="1"/>
    </xf>
    <xf numFmtId="0" fontId="12" fillId="2" borderId="31"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0" borderId="81" xfId="0" applyFont="1" applyBorder="1" applyAlignment="1">
      <alignment horizontal="center" vertical="center" wrapText="1"/>
    </xf>
    <xf numFmtId="0" fontId="12" fillId="2" borderId="79" xfId="0" applyFont="1" applyFill="1" applyBorder="1" applyAlignment="1">
      <alignment horizontal="center" vertical="center" wrapText="1"/>
    </xf>
    <xf numFmtId="0" fontId="12" fillId="0" borderId="86" xfId="0" applyFont="1" applyBorder="1" applyAlignment="1">
      <alignment horizontal="center" vertical="center" wrapText="1"/>
    </xf>
    <xf numFmtId="0" fontId="12" fillId="0" borderId="87" xfId="0" applyFont="1" applyBorder="1" applyAlignment="1">
      <alignment horizontal="center" vertical="center" wrapText="1"/>
    </xf>
    <xf numFmtId="0" fontId="12" fillId="0" borderId="8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3" xfId="0" applyFont="1" applyBorder="1" applyAlignment="1">
      <alignment horizontal="center" vertical="center" wrapText="1"/>
    </xf>
    <xf numFmtId="0" fontId="10" fillId="0" borderId="1"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28" xfId="0" applyFont="1" applyBorder="1" applyAlignment="1">
      <alignment horizontal="center" vertical="center" wrapText="1"/>
    </xf>
    <xf numFmtId="49" fontId="5" fillId="0" borderId="21" xfId="0" applyNumberFormat="1" applyFont="1" applyBorder="1" applyAlignment="1">
      <alignment horizontal="center" vertical="center" wrapText="1"/>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45"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59" xfId="0" applyFont="1" applyBorder="1" applyAlignment="1">
      <alignment horizontal="center" vertical="center" wrapText="1"/>
    </xf>
    <xf numFmtId="0" fontId="5" fillId="0" borderId="42" xfId="0" quotePrefix="1" applyFont="1" applyBorder="1" applyAlignment="1">
      <alignment horizontal="center" vertical="center" wrapText="1"/>
    </xf>
    <xf numFmtId="0" fontId="5" fillId="0" borderId="27" xfId="0" quotePrefix="1" applyFont="1" applyBorder="1" applyAlignment="1">
      <alignment horizontal="center" vertical="center" wrapText="1"/>
    </xf>
    <xf numFmtId="0" fontId="5" fillId="0" borderId="38" xfId="0" quotePrefix="1" applyFont="1" applyBorder="1" applyAlignment="1">
      <alignment horizontal="center" vertical="center" wrapText="1"/>
    </xf>
    <xf numFmtId="0" fontId="5" fillId="0" borderId="28" xfId="0" quotePrefix="1" applyFont="1" applyBorder="1" applyAlignment="1">
      <alignment horizontal="center" vertical="center" wrapText="1"/>
    </xf>
    <xf numFmtId="0" fontId="12" fillId="0" borderId="8" xfId="0" applyFont="1" applyBorder="1" applyAlignment="1">
      <alignment horizontal="center" vertical="center" wrapText="1"/>
    </xf>
    <xf numFmtId="0" fontId="13" fillId="6" borderId="2" xfId="0" applyFont="1" applyFill="1" applyBorder="1" applyAlignment="1">
      <alignment horizontal="center" vertical="center" shrinkToFit="1"/>
    </xf>
    <xf numFmtId="0" fontId="13" fillId="8" borderId="2" xfId="0" applyFont="1" applyFill="1" applyBorder="1" applyAlignment="1">
      <alignment horizontal="center" vertical="center" shrinkToFit="1"/>
    </xf>
    <xf numFmtId="0" fontId="13" fillId="0" borderId="0" xfId="0" applyFont="1" applyAlignment="1">
      <alignment horizontal="center" vertical="center" shrinkToFit="1"/>
    </xf>
    <xf numFmtId="49" fontId="14" fillId="8" borderId="2" xfId="0" applyNumberFormat="1" applyFont="1" applyFill="1" applyBorder="1" applyAlignment="1">
      <alignment horizontal="center" vertical="center" shrinkToFit="1"/>
    </xf>
    <xf numFmtId="49" fontId="15" fillId="8" borderId="2" xfId="0" applyNumberFormat="1" applyFont="1" applyFill="1" applyBorder="1" applyAlignment="1">
      <alignment horizontal="center" vertical="center" shrinkToFit="1"/>
    </xf>
    <xf numFmtId="0" fontId="13" fillId="0" borderId="0" xfId="0" applyFont="1" applyAlignment="1">
      <alignment shrinkToFit="1"/>
    </xf>
    <xf numFmtId="49" fontId="14" fillId="2" borderId="2" xfId="0" applyNumberFormat="1" applyFont="1" applyFill="1" applyBorder="1" applyAlignment="1">
      <alignment horizontal="center" vertical="center" shrinkToFit="1"/>
    </xf>
    <xf numFmtId="49" fontId="15" fillId="2" borderId="2" xfId="0" applyNumberFormat="1" applyFont="1" applyFill="1" applyBorder="1" applyAlignment="1">
      <alignment horizontal="center" vertical="center" shrinkToFit="1"/>
    </xf>
    <xf numFmtId="49" fontId="14" fillId="9" borderId="2" xfId="0" applyNumberFormat="1" applyFont="1" applyFill="1" applyBorder="1" applyAlignment="1">
      <alignment horizontal="center" vertical="center" shrinkToFit="1"/>
    </xf>
    <xf numFmtId="49" fontId="15" fillId="9" borderId="2" xfId="0" applyNumberFormat="1" applyFont="1" applyFill="1" applyBorder="1" applyAlignment="1">
      <alignment horizontal="center" vertical="center" shrinkToFit="1"/>
    </xf>
    <xf numFmtId="0" fontId="13" fillId="9" borderId="2" xfId="0" applyFont="1" applyFill="1" applyBorder="1" applyAlignment="1">
      <alignment horizontal="center" vertical="center" shrinkToFit="1"/>
    </xf>
    <xf numFmtId="0" fontId="16" fillId="9" borderId="2" xfId="0" applyFont="1" applyFill="1" applyBorder="1" applyAlignment="1">
      <alignment horizontal="center" vertical="center" shrinkToFit="1"/>
    </xf>
    <xf numFmtId="0" fontId="13" fillId="7" borderId="2" xfId="0" applyFont="1" applyFill="1" applyBorder="1" applyAlignment="1">
      <alignment horizontal="center" vertical="center" shrinkToFit="1"/>
    </xf>
    <xf numFmtId="0" fontId="13" fillId="7" borderId="2" xfId="0" applyFont="1" applyFill="1" applyBorder="1" applyAlignment="1">
      <alignment horizontal="center" vertical="center" wrapText="1" shrinkToFit="1"/>
    </xf>
    <xf numFmtId="49" fontId="5" fillId="0" borderId="19" xfId="0" applyNumberFormat="1" applyFont="1" applyBorder="1" applyAlignment="1">
      <alignment horizontal="center" vertical="center" wrapText="1"/>
    </xf>
    <xf numFmtId="0" fontId="9" fillId="3" borderId="8" xfId="0" applyFont="1" applyFill="1" applyBorder="1" applyAlignment="1">
      <alignment horizontal="center" vertical="center" wrapText="1"/>
    </xf>
    <xf numFmtId="49" fontId="5" fillId="0" borderId="16" xfId="0" applyNumberFormat="1" applyFont="1" applyBorder="1" applyAlignment="1">
      <alignment horizontal="center" vertical="center" wrapText="1"/>
    </xf>
    <xf numFmtId="0" fontId="5" fillId="0" borderId="17" xfId="0" applyFont="1" applyBorder="1" applyAlignment="1">
      <alignment horizontal="center"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0" fontId="12" fillId="0" borderId="0" xfId="0" applyFont="1" applyAlignment="1">
      <alignment horizontal="center" vertical="center" wrapText="1"/>
    </xf>
    <xf numFmtId="0" fontId="5" fillId="2" borderId="30" xfId="0" applyFont="1" applyFill="1" applyBorder="1" applyAlignment="1">
      <alignment horizontal="center" vertical="center" wrapText="1"/>
    </xf>
    <xf numFmtId="0" fontId="5" fillId="2" borderId="80"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0" xfId="0" applyFont="1" applyFill="1" applyAlignment="1">
      <alignment horizontal="center" vertical="center" wrapText="1"/>
    </xf>
    <xf numFmtId="0" fontId="12" fillId="2" borderId="22" xfId="0" applyFont="1" applyFill="1" applyBorder="1" applyAlignment="1">
      <alignment horizontal="center" vertical="center" wrapText="1"/>
    </xf>
    <xf numFmtId="0" fontId="12" fillId="2" borderId="20"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3" fillId="3" borderId="48" xfId="0" applyFont="1" applyFill="1" applyBorder="1" applyAlignment="1">
      <alignment horizontal="center" vertical="center" wrapText="1"/>
    </xf>
    <xf numFmtId="0" fontId="3" fillId="3" borderId="49"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12" fillId="2" borderId="13" xfId="0" applyFont="1" applyFill="1" applyBorder="1" applyAlignment="1">
      <alignment horizontal="center" vertical="center" wrapText="1"/>
    </xf>
    <xf numFmtId="49" fontId="12" fillId="0" borderId="0" xfId="0" applyNumberFormat="1" applyFont="1" applyAlignment="1">
      <alignment horizontal="center" vertical="center" wrapText="1"/>
    </xf>
    <xf numFmtId="0" fontId="5" fillId="0" borderId="0" xfId="0" applyFont="1" applyAlignment="1">
      <alignment horizontal="center" vertical="center"/>
    </xf>
    <xf numFmtId="0" fontId="5" fillId="2" borderId="46"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5" fillId="2" borderId="40"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2" fillId="2" borderId="18" xfId="0" quotePrefix="1" applyFont="1" applyFill="1" applyBorder="1" applyAlignment="1">
      <alignment horizontal="center" vertical="center" wrapText="1"/>
    </xf>
    <xf numFmtId="0" fontId="12" fillId="2" borderId="20" xfId="0" quotePrefix="1" applyFont="1" applyFill="1" applyBorder="1" applyAlignment="1">
      <alignment horizontal="center" vertical="center" wrapText="1"/>
    </xf>
    <xf numFmtId="0" fontId="12" fillId="2" borderId="22" xfId="0" quotePrefix="1"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41" xfId="0" applyFont="1" applyFill="1" applyBorder="1" applyAlignment="1">
      <alignment horizontal="center" vertical="center" wrapText="1"/>
    </xf>
    <xf numFmtId="0" fontId="5" fillId="2" borderId="39" xfId="0" applyFont="1" applyFill="1" applyBorder="1" applyAlignment="1">
      <alignment horizontal="center" vertical="center" wrapText="1"/>
    </xf>
    <xf numFmtId="0" fontId="5" fillId="2" borderId="45" xfId="0" applyFont="1" applyFill="1" applyBorder="1" applyAlignment="1">
      <alignment horizontal="center" vertical="center" wrapText="1"/>
    </xf>
    <xf numFmtId="0" fontId="12" fillId="2" borderId="41"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9" xfId="0" applyFont="1" applyFill="1" applyBorder="1" applyAlignment="1">
      <alignment horizontal="center" vertical="center" wrapText="1"/>
    </xf>
    <xf numFmtId="0" fontId="12" fillId="2" borderId="59"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41" xfId="0" quotePrefix="1" applyFont="1" applyFill="1" applyBorder="1" applyAlignment="1">
      <alignment horizontal="center" vertical="center" wrapText="1"/>
    </xf>
    <xf numFmtId="0" fontId="12" fillId="2" borderId="37" xfId="0" quotePrefix="1" applyFont="1" applyFill="1" applyBorder="1" applyAlignment="1">
      <alignment horizontal="center" vertical="center" wrapText="1"/>
    </xf>
    <xf numFmtId="0" fontId="12" fillId="2" borderId="39" xfId="0" quotePrefix="1" applyFont="1" applyFill="1" applyBorder="1" applyAlignment="1">
      <alignment horizontal="center" vertical="center" wrapText="1"/>
    </xf>
    <xf numFmtId="0" fontId="12" fillId="2" borderId="43" xfId="0" applyFont="1" applyFill="1" applyBorder="1" applyAlignment="1">
      <alignment horizontal="center" vertical="center" wrapText="1"/>
    </xf>
    <xf numFmtId="0" fontId="3" fillId="3" borderId="95" xfId="0" applyFont="1" applyFill="1" applyBorder="1" applyAlignment="1">
      <alignment horizontal="center" vertical="center" wrapText="1"/>
    </xf>
    <xf numFmtId="0" fontId="9" fillId="3" borderId="94" xfId="0" applyFont="1" applyFill="1" applyBorder="1" applyAlignment="1">
      <alignment horizontal="center" vertical="center" wrapText="1"/>
    </xf>
    <xf numFmtId="49" fontId="5" fillId="0" borderId="17" xfId="0" applyNumberFormat="1" applyFont="1" applyBorder="1" applyAlignment="1">
      <alignment horizontal="center" vertical="center" wrapText="1"/>
    </xf>
    <xf numFmtId="0" fontId="5" fillId="2" borderId="21"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90" xfId="0" applyFont="1" applyFill="1" applyBorder="1" applyAlignment="1">
      <alignment horizontal="center" vertical="center" wrapText="1"/>
    </xf>
    <xf numFmtId="0" fontId="5" fillId="2" borderId="9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7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3" fillId="10" borderId="2" xfId="0" applyFont="1" applyFill="1" applyBorder="1" applyAlignment="1">
      <alignment horizontal="center" vertical="center" shrinkToFit="1"/>
    </xf>
    <xf numFmtId="0" fontId="13" fillId="10" borderId="6" xfId="0" applyFont="1" applyFill="1" applyBorder="1" applyAlignment="1">
      <alignment horizontal="center" vertical="center" shrinkToFit="1"/>
    </xf>
    <xf numFmtId="0" fontId="9" fillId="3" borderId="14" xfId="0" applyFont="1" applyFill="1" applyBorder="1" applyAlignment="1">
      <alignment horizontal="center" vertical="center" wrapText="1"/>
    </xf>
    <xf numFmtId="49" fontId="5" fillId="0" borderId="28" xfId="0" applyNumberFormat="1" applyFont="1" applyBorder="1" applyAlignment="1">
      <alignment horizontal="center" vertical="center" wrapText="1"/>
    </xf>
    <xf numFmtId="49" fontId="5" fillId="0" borderId="61" xfId="0" applyNumberFormat="1" applyFont="1" applyBorder="1" applyAlignment="1">
      <alignment horizontal="center" vertical="center" wrapText="1"/>
    </xf>
    <xf numFmtId="49" fontId="5" fillId="0" borderId="27" xfId="0" applyNumberFormat="1" applyFont="1" applyBorder="1" applyAlignment="1">
      <alignment horizontal="center" vertical="center" wrapText="1"/>
    </xf>
    <xf numFmtId="0" fontId="12" fillId="0" borderId="1" xfId="0" applyFont="1" applyBorder="1" applyAlignment="1">
      <alignment horizontal="center" vertical="center" wrapText="1"/>
    </xf>
    <xf numFmtId="49" fontId="5" fillId="0" borderId="15" xfId="0" applyNumberFormat="1" applyFont="1" applyBorder="1" applyAlignment="1">
      <alignment horizontal="center" vertical="center" wrapText="1"/>
    </xf>
    <xf numFmtId="49" fontId="5" fillId="0" borderId="23" xfId="0" applyNumberFormat="1" applyFont="1" applyBorder="1" applyAlignment="1">
      <alignment horizontal="center" vertical="center" wrapText="1"/>
    </xf>
    <xf numFmtId="0" fontId="5" fillId="2" borderId="2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0" fillId="0" borderId="9" xfId="0" applyBorder="1" applyAlignment="1">
      <alignment vertical="center" wrapText="1"/>
    </xf>
    <xf numFmtId="0" fontId="2" fillId="0" borderId="0" xfId="0" applyFont="1" applyAlignment="1">
      <alignment horizontal="center" vertical="center" wrapText="1"/>
    </xf>
    <xf numFmtId="0" fontId="5" fillId="0" borderId="87" xfId="0" applyFont="1" applyBorder="1" applyAlignment="1">
      <alignment horizontal="center" vertical="center" wrapText="1"/>
    </xf>
    <xf numFmtId="49" fontId="5" fillId="0" borderId="29" xfId="0" applyNumberFormat="1" applyFont="1" applyBorder="1" applyAlignment="1">
      <alignment horizontal="center" vertical="center" shrinkToFit="1"/>
    </xf>
    <xf numFmtId="0" fontId="5" fillId="0" borderId="15" xfId="0" applyFont="1" applyBorder="1" applyAlignment="1">
      <alignment horizontal="center" vertical="center" shrinkToFit="1"/>
    </xf>
    <xf numFmtId="49" fontId="5" fillId="0" borderId="17" xfId="0" applyNumberFormat="1" applyFont="1" applyBorder="1" applyAlignment="1">
      <alignment horizontal="center" vertical="center" shrinkToFit="1"/>
    </xf>
    <xf numFmtId="0" fontId="5" fillId="0" borderId="17" xfId="0" applyFont="1" applyBorder="1" applyAlignment="1">
      <alignment horizontal="center" vertical="center" shrinkToFit="1"/>
    </xf>
    <xf numFmtId="49" fontId="5" fillId="0" borderId="19" xfId="0" applyNumberFormat="1" applyFont="1" applyBorder="1" applyAlignment="1">
      <alignment horizontal="center" vertical="center" shrinkToFit="1"/>
    </xf>
    <xf numFmtId="0" fontId="5" fillId="0" borderId="21" xfId="0" applyFont="1" applyBorder="1" applyAlignment="1">
      <alignment horizontal="center" vertical="center" shrinkToFit="1"/>
    </xf>
    <xf numFmtId="49" fontId="5" fillId="0" borderId="21" xfId="0" applyNumberFormat="1" applyFont="1" applyBorder="1" applyAlignment="1">
      <alignment horizontal="center" vertical="center" shrinkToFit="1"/>
    </xf>
    <xf numFmtId="0" fontId="5" fillId="0" borderId="19" xfId="0" applyFont="1" applyBorder="1" applyAlignment="1">
      <alignment horizontal="center" vertical="center" shrinkToFit="1"/>
    </xf>
    <xf numFmtId="49" fontId="5" fillId="0" borderId="23" xfId="0" applyNumberFormat="1" applyFont="1" applyBorder="1" applyAlignment="1">
      <alignment horizontal="center" vertical="center" shrinkToFit="1"/>
    </xf>
    <xf numFmtId="49" fontId="12" fillId="0" borderId="19" xfId="0" applyNumberFormat="1" applyFont="1" applyBorder="1" applyAlignment="1">
      <alignment horizontal="center" vertical="center" shrinkToFit="1"/>
    </xf>
    <xf numFmtId="49" fontId="12" fillId="0" borderId="17" xfId="0" applyNumberFormat="1" applyFont="1" applyBorder="1" applyAlignment="1">
      <alignment horizontal="center" vertical="center" shrinkToFit="1"/>
    </xf>
    <xf numFmtId="49" fontId="12" fillId="0" borderId="21" xfId="0" applyNumberFormat="1" applyFont="1" applyBorder="1" applyAlignment="1">
      <alignment horizontal="center" vertical="center" shrinkToFit="1"/>
    </xf>
    <xf numFmtId="49" fontId="12" fillId="0" borderId="15" xfId="0" applyNumberFormat="1" applyFont="1" applyBorder="1" applyAlignment="1">
      <alignment horizontal="center" vertical="center" shrinkToFit="1"/>
    </xf>
    <xf numFmtId="0" fontId="5" fillId="0" borderId="18" xfId="0" applyFont="1" applyBorder="1" applyAlignment="1">
      <alignment horizontal="center" vertical="center" shrinkToFit="1"/>
    </xf>
    <xf numFmtId="0" fontId="5" fillId="2" borderId="60" xfId="0" applyFont="1" applyFill="1" applyBorder="1" applyAlignment="1">
      <alignment horizontal="center" vertical="center" wrapText="1"/>
    </xf>
    <xf numFmtId="0" fontId="5" fillId="2" borderId="59"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74" xfId="0" applyFont="1" applyFill="1" applyBorder="1" applyAlignment="1">
      <alignment horizontal="center" vertical="center" wrapText="1"/>
    </xf>
    <xf numFmtId="0" fontId="5" fillId="2" borderId="36"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13" fillId="2" borderId="6" xfId="0" applyFont="1" applyFill="1" applyBorder="1" applyAlignment="1">
      <alignment horizontal="center" vertical="center" shrinkToFit="1"/>
    </xf>
    <xf numFmtId="0" fontId="13" fillId="2" borderId="0" xfId="0" applyFont="1" applyFill="1" applyAlignment="1">
      <alignment horizontal="center" vertical="center" shrinkToFit="1"/>
    </xf>
    <xf numFmtId="49" fontId="5" fillId="0" borderId="18" xfId="0" applyNumberFormat="1" applyFont="1" applyBorder="1" applyAlignment="1">
      <alignment horizontal="center" vertical="center" wrapText="1"/>
    </xf>
    <xf numFmtId="0" fontId="5" fillId="2" borderId="27"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12" fillId="2" borderId="99" xfId="0" applyFont="1" applyFill="1" applyBorder="1" applyAlignment="1">
      <alignment horizontal="center" vertical="center" wrapText="1"/>
    </xf>
    <xf numFmtId="0" fontId="12" fillId="2" borderId="91" xfId="0" applyFont="1" applyFill="1" applyBorder="1" applyAlignment="1">
      <alignment horizontal="center" vertical="center" wrapText="1"/>
    </xf>
    <xf numFmtId="0" fontId="12" fillId="0" borderId="78" xfId="0" applyFont="1" applyBorder="1" applyAlignment="1">
      <alignment horizontal="center" vertical="center" wrapText="1"/>
    </xf>
    <xf numFmtId="0" fontId="12" fillId="0" borderId="56" xfId="0" applyFont="1" applyBorder="1" applyAlignment="1">
      <alignment horizontal="center" vertical="center" wrapText="1"/>
    </xf>
    <xf numFmtId="0" fontId="12" fillId="0" borderId="62" xfId="0" applyFont="1" applyBorder="1" applyAlignment="1">
      <alignment horizontal="center" vertical="center" wrapText="1"/>
    </xf>
    <xf numFmtId="0" fontId="3" fillId="3" borderId="8" xfId="0" applyFont="1" applyFill="1" applyBorder="1" applyAlignment="1">
      <alignment horizontal="center" vertical="center" wrapText="1"/>
    </xf>
    <xf numFmtId="0" fontId="12" fillId="2" borderId="48"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3" fillId="3" borderId="76"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12" fillId="0" borderId="49"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69"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4" xfId="0" applyFont="1" applyBorder="1" applyAlignment="1">
      <alignment horizontal="center" vertical="center" wrapText="1"/>
    </xf>
    <xf numFmtId="0" fontId="2" fillId="0" borderId="56" xfId="0" applyFont="1" applyBorder="1" applyAlignment="1">
      <alignment horizontal="center" vertical="center" wrapText="1"/>
    </xf>
    <xf numFmtId="0" fontId="12" fillId="0" borderId="76" xfId="0" applyFont="1" applyBorder="1" applyAlignment="1">
      <alignment horizontal="center" vertical="center" wrapText="1"/>
    </xf>
    <xf numFmtId="49" fontId="12" fillId="0" borderId="29" xfId="0" applyNumberFormat="1" applyFont="1" applyBorder="1" applyAlignment="1">
      <alignment horizontal="center" vertical="center" wrapText="1"/>
    </xf>
    <xf numFmtId="0" fontId="5" fillId="0" borderId="29" xfId="0" applyFont="1" applyBorder="1" applyAlignment="1">
      <alignment horizontal="center" vertical="center" shrinkToFit="1"/>
    </xf>
    <xf numFmtId="0" fontId="5" fillId="2" borderId="31" xfId="0" applyFont="1" applyFill="1" applyBorder="1" applyAlignment="1">
      <alignment horizontal="center" vertical="center" wrapText="1"/>
    </xf>
    <xf numFmtId="0" fontId="12" fillId="2" borderId="45" xfId="0" quotePrefix="1" applyFont="1" applyFill="1" applyBorder="1" applyAlignment="1">
      <alignment horizontal="center" vertical="center" wrapText="1"/>
    </xf>
    <xf numFmtId="0" fontId="12" fillId="2" borderId="46" xfId="0" applyFont="1" applyFill="1" applyBorder="1" applyAlignment="1">
      <alignment horizontal="center" vertical="center" wrapText="1"/>
    </xf>
    <xf numFmtId="0" fontId="12" fillId="2" borderId="30" xfId="0" applyFont="1" applyFill="1" applyBorder="1" applyAlignment="1">
      <alignment horizontal="center" vertical="center" wrapText="1"/>
    </xf>
    <xf numFmtId="49" fontId="12" fillId="0" borderId="29" xfId="0" applyNumberFormat="1" applyFont="1" applyBorder="1" applyAlignment="1">
      <alignment horizontal="center" vertical="center" shrinkToFit="1"/>
    </xf>
    <xf numFmtId="49" fontId="5" fillId="0" borderId="30" xfId="0" applyNumberFormat="1" applyFont="1" applyBorder="1" applyAlignment="1">
      <alignment horizontal="center" vertical="center" wrapText="1"/>
    </xf>
    <xf numFmtId="0" fontId="12" fillId="2" borderId="104" xfId="0" applyFont="1" applyFill="1" applyBorder="1" applyAlignment="1">
      <alignment horizontal="center" vertical="center" wrapText="1"/>
    </xf>
    <xf numFmtId="0" fontId="12" fillId="2" borderId="101" xfId="0" applyFont="1" applyFill="1" applyBorder="1" applyAlignment="1">
      <alignment horizontal="center" vertical="center" wrapText="1"/>
    </xf>
    <xf numFmtId="0" fontId="5" fillId="2" borderId="103" xfId="0" applyFont="1" applyFill="1" applyBorder="1" applyAlignment="1">
      <alignment horizontal="center" vertical="center" wrapText="1"/>
    </xf>
    <xf numFmtId="0" fontId="12" fillId="2" borderId="102" xfId="0" applyFont="1" applyFill="1" applyBorder="1" applyAlignment="1">
      <alignment horizontal="center" vertical="center" wrapText="1"/>
    </xf>
    <xf numFmtId="0" fontId="12" fillId="2" borderId="105" xfId="0" applyFont="1" applyFill="1" applyBorder="1" applyAlignment="1">
      <alignment horizontal="center" vertical="center" wrapText="1"/>
    </xf>
    <xf numFmtId="0" fontId="12" fillId="2" borderId="102" xfId="0" quotePrefix="1" applyFont="1" applyFill="1" applyBorder="1" applyAlignment="1">
      <alignment horizontal="center" vertical="center" wrapText="1"/>
    </xf>
    <xf numFmtId="0" fontId="12" fillId="2" borderId="103" xfId="0" applyFont="1" applyFill="1" applyBorder="1" applyAlignment="1">
      <alignment horizontal="center" vertical="center" wrapText="1"/>
    </xf>
    <xf numFmtId="0" fontId="12" fillId="0" borderId="45" xfId="0" quotePrefix="1" applyFont="1" applyBorder="1" applyAlignment="1">
      <alignment horizontal="center" vertical="center" wrapText="1"/>
    </xf>
    <xf numFmtId="0" fontId="12" fillId="2" borderId="43" xfId="0" quotePrefix="1" applyFont="1" applyFill="1" applyBorder="1" applyAlignment="1">
      <alignment horizontal="center" vertical="center" wrapText="1"/>
    </xf>
    <xf numFmtId="0" fontId="12" fillId="0" borderId="24" xfId="0" applyFont="1" applyBorder="1" applyAlignment="1">
      <alignment horizontal="center" vertical="center" wrapText="1"/>
    </xf>
    <xf numFmtId="0" fontId="12" fillId="2" borderId="106" xfId="0" applyFont="1" applyFill="1" applyBorder="1" applyAlignment="1">
      <alignment horizontal="center" vertical="center" wrapText="1"/>
    </xf>
    <xf numFmtId="0" fontId="12" fillId="2" borderId="105" xfId="0" quotePrefix="1" applyFont="1" applyFill="1" applyBorder="1" applyAlignment="1">
      <alignment horizontal="center" vertical="center" wrapText="1"/>
    </xf>
    <xf numFmtId="0" fontId="5" fillId="2" borderId="29" xfId="0" applyFont="1" applyFill="1" applyBorder="1" applyAlignment="1">
      <alignment horizontal="center" vertical="center" wrapText="1"/>
    </xf>
    <xf numFmtId="0" fontId="12" fillId="0" borderId="6" xfId="0" applyFont="1" applyBorder="1" applyAlignment="1">
      <alignment horizontal="center" vertical="center" wrapText="1"/>
    </xf>
    <xf numFmtId="0" fontId="5" fillId="0" borderId="23" xfId="0" applyFont="1" applyBorder="1" applyAlignment="1">
      <alignment horizontal="center" vertical="center" shrinkToFit="1"/>
    </xf>
    <xf numFmtId="0" fontId="5" fillId="2" borderId="23" xfId="0" applyFont="1" applyFill="1" applyBorder="1" applyAlignment="1">
      <alignment horizontal="center" vertical="center" wrapText="1"/>
    </xf>
    <xf numFmtId="49" fontId="5" fillId="0" borderId="57" xfId="0" applyNumberFormat="1" applyFont="1" applyBorder="1" applyAlignment="1">
      <alignment horizontal="center" vertical="center" wrapText="1"/>
    </xf>
    <xf numFmtId="0" fontId="12" fillId="0" borderId="21" xfId="0" applyFont="1" applyBorder="1" applyAlignment="1">
      <alignment horizontal="center" vertical="center" shrinkToFit="1"/>
    </xf>
    <xf numFmtId="0" fontId="7" fillId="0" borderId="0" xfId="0" applyFont="1" applyAlignment="1">
      <alignment horizontal="center" vertical="center" wrapText="1"/>
    </xf>
    <xf numFmtId="0" fontId="6" fillId="0" borderId="9" xfId="0" applyFont="1" applyBorder="1" applyAlignment="1">
      <alignment horizontal="left" vertical="center" wrapText="1"/>
    </xf>
    <xf numFmtId="0" fontId="3" fillId="0" borderId="9" xfId="0" applyFont="1" applyBorder="1" applyAlignment="1">
      <alignment horizontal="center" vertical="center" wrapText="1"/>
    </xf>
    <xf numFmtId="0" fontId="0" fillId="0" borderId="9" xfId="0" applyBorder="1" applyAlignment="1">
      <alignment horizontal="center" vertical="center" wrapText="1"/>
    </xf>
    <xf numFmtId="0" fontId="3" fillId="3" borderId="53"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3" fillId="3" borderId="64" xfId="0" applyFont="1" applyFill="1" applyBorder="1" applyAlignment="1">
      <alignment horizontal="center" vertical="center" wrapText="1"/>
    </xf>
    <xf numFmtId="0" fontId="3" fillId="3" borderId="75" xfId="0" applyFont="1" applyFill="1" applyBorder="1" applyAlignment="1">
      <alignment horizontal="center" vertical="center" wrapText="1"/>
    </xf>
    <xf numFmtId="0" fontId="3" fillId="3" borderId="76" xfId="0" applyFont="1" applyFill="1" applyBorder="1" applyAlignment="1">
      <alignment horizontal="center" vertical="center" wrapText="1"/>
    </xf>
    <xf numFmtId="0" fontId="3" fillId="3" borderId="9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71" xfId="0" applyFont="1" applyFill="1" applyBorder="1" applyAlignment="1">
      <alignment horizontal="center" vertical="center" wrapText="1"/>
    </xf>
    <xf numFmtId="0" fontId="3" fillId="3" borderId="73" xfId="0" applyFont="1" applyFill="1" applyBorder="1" applyAlignment="1">
      <alignment horizontal="center" vertical="center" wrapText="1"/>
    </xf>
    <xf numFmtId="0" fontId="3" fillId="3" borderId="65" xfId="0" applyFont="1" applyFill="1" applyBorder="1" applyAlignment="1">
      <alignment horizontal="center" vertical="center" wrapText="1"/>
    </xf>
    <xf numFmtId="0" fontId="3" fillId="3" borderId="72" xfId="0" applyFont="1" applyFill="1" applyBorder="1" applyAlignment="1">
      <alignment horizontal="center" vertical="center" wrapText="1"/>
    </xf>
    <xf numFmtId="0" fontId="3" fillId="3" borderId="52" xfId="0" applyFont="1" applyFill="1" applyBorder="1" applyAlignment="1">
      <alignment horizontal="center" vertical="center" wrapText="1"/>
    </xf>
    <xf numFmtId="0" fontId="12" fillId="0" borderId="78" xfId="0" applyFont="1" applyBorder="1" applyAlignment="1">
      <alignment horizontal="center" vertical="center" wrapText="1"/>
    </xf>
    <xf numFmtId="0" fontId="12" fillId="0" borderId="76"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63" xfId="0" applyFont="1" applyBorder="1" applyAlignment="1">
      <alignment horizontal="center" vertical="center" wrapText="1"/>
    </xf>
    <xf numFmtId="0" fontId="12" fillId="0" borderId="62" xfId="0" applyFont="1" applyBorder="1" applyAlignment="1">
      <alignment horizontal="center" vertical="center" wrapText="1"/>
    </xf>
    <xf numFmtId="0" fontId="5" fillId="0" borderId="14" xfId="0" applyFont="1" applyBorder="1" applyAlignment="1">
      <alignment horizontal="center" vertical="center" wrapText="1"/>
    </xf>
    <xf numFmtId="0" fontId="12" fillId="0" borderId="56" xfId="0" applyFont="1" applyBorder="1" applyAlignment="1">
      <alignment horizontal="center" vertical="center" wrapText="1"/>
    </xf>
    <xf numFmtId="0" fontId="3" fillId="3" borderId="97"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96"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3" fillId="3" borderId="56" xfId="0" applyFont="1" applyFill="1" applyBorder="1" applyAlignment="1">
      <alignment horizontal="center" vertical="center" wrapText="1"/>
    </xf>
    <xf numFmtId="0" fontId="3" fillId="3" borderId="92" xfId="0" applyFont="1" applyFill="1" applyBorder="1" applyAlignment="1">
      <alignment horizontal="center" vertical="center" wrapText="1"/>
    </xf>
    <xf numFmtId="0" fontId="11" fillId="0" borderId="53" xfId="0" applyFont="1" applyBorder="1" applyAlignment="1">
      <alignment horizontal="center" vertical="center" wrapText="1"/>
    </xf>
    <xf numFmtId="0" fontId="11" fillId="0" borderId="55"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7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12" fillId="0" borderId="54" xfId="0" applyFont="1" applyBorder="1" applyAlignment="1">
      <alignment horizontal="center" vertical="center" wrapText="1"/>
    </xf>
    <xf numFmtId="0" fontId="5" fillId="0" borderId="100" xfId="0" applyFont="1" applyBorder="1" applyAlignment="1">
      <alignment horizontal="center" vertical="center" wrapText="1"/>
    </xf>
    <xf numFmtId="0" fontId="12" fillId="2" borderId="51" xfId="0" applyFont="1" applyFill="1" applyBorder="1" applyAlignment="1">
      <alignment horizontal="center" vertical="center" wrapText="1"/>
    </xf>
    <xf numFmtId="0" fontId="0" fillId="0" borderId="49" xfId="0" applyBorder="1" applyAlignment="1">
      <alignment horizontal="center" vertical="center" wrapText="1"/>
    </xf>
    <xf numFmtId="0" fontId="0" fillId="0" borderId="107" xfId="0" applyBorder="1" applyAlignment="1">
      <alignment horizontal="center" vertical="center" wrapText="1"/>
    </xf>
    <xf numFmtId="0" fontId="0" fillId="0" borderId="4" xfId="0" applyBorder="1" applyAlignment="1">
      <alignment horizontal="center" vertical="center" wrapText="1"/>
    </xf>
    <xf numFmtId="0" fontId="5" fillId="0" borderId="4" xfId="0" applyFont="1" applyBorder="1" applyAlignment="1">
      <alignment horizontal="center" vertical="center" wrapText="1"/>
    </xf>
    <xf numFmtId="0" fontId="12" fillId="4" borderId="54" xfId="0" applyFont="1" applyFill="1" applyBorder="1" applyAlignment="1">
      <alignment horizontal="center" vertical="center" wrapText="1"/>
    </xf>
    <xf numFmtId="0" fontId="12" fillId="4" borderId="56" xfId="0" applyFont="1" applyFill="1" applyBorder="1" applyAlignment="1">
      <alignment horizontal="center" vertical="center" wrapText="1"/>
    </xf>
    <xf numFmtId="0" fontId="12" fillId="4" borderId="92" xfId="0" applyFont="1" applyFill="1" applyBorder="1" applyAlignment="1">
      <alignment horizontal="center" vertical="center" wrapText="1"/>
    </xf>
    <xf numFmtId="0" fontId="12" fillId="0" borderId="93" xfId="0" applyFont="1" applyBorder="1" applyAlignment="1">
      <alignment horizontal="center" vertical="center" wrapText="1"/>
    </xf>
    <xf numFmtId="0" fontId="12" fillId="2" borderId="73" xfId="0" applyFont="1" applyFill="1" applyBorder="1" applyAlignment="1">
      <alignment horizontal="center" vertical="center" wrapText="1"/>
    </xf>
    <xf numFmtId="0" fontId="0" fillId="0" borderId="65" xfId="0" applyBorder="1" applyAlignment="1">
      <alignment horizontal="center" vertical="center" wrapText="1"/>
    </xf>
    <xf numFmtId="0" fontId="12" fillId="2" borderId="47" xfId="0" quotePrefix="1" applyFont="1" applyFill="1" applyBorder="1" applyAlignment="1">
      <alignment horizontal="center" vertical="center" wrapText="1"/>
    </xf>
    <xf numFmtId="0" fontId="0" fillId="0" borderId="48" xfId="0" applyBorder="1" applyAlignment="1">
      <alignment horizontal="center" vertical="center" wrapText="1"/>
    </xf>
    <xf numFmtId="0" fontId="0" fillId="0" borderId="74" xfId="0" applyBorder="1" applyAlignment="1">
      <alignment horizontal="center" vertical="center" wrapText="1"/>
    </xf>
    <xf numFmtId="0" fontId="12" fillId="2" borderId="72" xfId="0" quotePrefix="1" applyFont="1" applyFill="1" applyBorder="1" applyAlignment="1">
      <alignment horizontal="center" vertical="center" wrapText="1"/>
    </xf>
    <xf numFmtId="0" fontId="0" fillId="0" borderId="52" xfId="0" applyBorder="1" applyAlignment="1">
      <alignment horizontal="center" vertical="center" wrapText="1"/>
    </xf>
    <xf numFmtId="0" fontId="11" fillId="0" borderId="6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2" fillId="11" borderId="54" xfId="0" applyFont="1" applyFill="1" applyBorder="1" applyAlignment="1">
      <alignment horizontal="center" vertical="center" wrapText="1"/>
    </xf>
    <xf numFmtId="0" fontId="2" fillId="11" borderId="56" xfId="0" applyFont="1" applyFill="1" applyBorder="1" applyAlignment="1">
      <alignment horizontal="center" vertical="center" wrapText="1"/>
    </xf>
    <xf numFmtId="0" fontId="2" fillId="11" borderId="92" xfId="0" applyFont="1" applyFill="1" applyBorder="1" applyAlignment="1">
      <alignment horizontal="center" vertical="center" wrapText="1"/>
    </xf>
    <xf numFmtId="0" fontId="12" fillId="2" borderId="108" xfId="0" applyFont="1" applyFill="1" applyBorder="1" applyAlignment="1">
      <alignment horizontal="center" vertical="center" wrapText="1"/>
    </xf>
    <xf numFmtId="0" fontId="0" fillId="0" borderId="109" xfId="0" applyBorder="1" applyAlignment="1">
      <alignment horizontal="center" vertical="center" wrapText="1"/>
    </xf>
    <xf numFmtId="0" fontId="0" fillId="0" borderId="110" xfId="0" applyBorder="1" applyAlignment="1">
      <alignment horizontal="center" vertical="center" wrapText="1"/>
    </xf>
    <xf numFmtId="0" fontId="12" fillId="2" borderId="111" xfId="0" applyFont="1" applyFill="1" applyBorder="1" applyAlignment="1">
      <alignment horizontal="center" vertical="center" wrapText="1"/>
    </xf>
    <xf numFmtId="0" fontId="0" fillId="0" borderId="112" xfId="0" applyBorder="1" applyAlignment="1">
      <alignment horizontal="center" vertical="center" wrapText="1"/>
    </xf>
    <xf numFmtId="0" fontId="12" fillId="0" borderId="47" xfId="0" quotePrefix="1" applyFont="1" applyBorder="1" applyAlignment="1">
      <alignment horizontal="center" vertical="center" wrapText="1"/>
    </xf>
    <xf numFmtId="0" fontId="12" fillId="0" borderId="72" xfId="0" quotePrefix="1" applyFont="1" applyBorder="1" applyAlignment="1">
      <alignment horizontal="center" vertical="center" wrapText="1"/>
    </xf>
    <xf numFmtId="0" fontId="12" fillId="0" borderId="72" xfId="0" applyFont="1" applyBorder="1" applyAlignment="1">
      <alignment horizontal="center" vertical="center" wrapText="1"/>
    </xf>
    <xf numFmtId="0" fontId="20" fillId="3" borderId="50" xfId="0" applyFont="1" applyFill="1" applyBorder="1" applyAlignment="1">
      <alignment horizontal="left" vertical="center" wrapText="1"/>
    </xf>
    <xf numFmtId="0" fontId="21" fillId="3" borderId="82" xfId="0" applyFont="1" applyFill="1" applyBorder="1" applyAlignment="1">
      <alignment horizontal="left" vertical="center"/>
    </xf>
    <xf numFmtId="0" fontId="21" fillId="3" borderId="83" xfId="0" applyFont="1" applyFill="1" applyBorder="1" applyAlignment="1">
      <alignment horizontal="left" vertical="center"/>
    </xf>
    <xf numFmtId="0" fontId="21" fillId="3" borderId="69" xfId="0" applyFont="1" applyFill="1" applyBorder="1" applyAlignment="1">
      <alignment horizontal="left" vertical="center"/>
    </xf>
    <xf numFmtId="0" fontId="21" fillId="3" borderId="0" xfId="0" applyFont="1" applyFill="1" applyAlignment="1">
      <alignment horizontal="left" vertical="center"/>
    </xf>
    <xf numFmtId="0" fontId="21" fillId="3" borderId="84" xfId="0" applyFont="1" applyFill="1" applyBorder="1" applyAlignment="1">
      <alignment horizontal="left" vertical="center"/>
    </xf>
    <xf numFmtId="0" fontId="22" fillId="0" borderId="69" xfId="0" applyFont="1" applyBorder="1" applyAlignment="1">
      <alignment vertical="center"/>
    </xf>
    <xf numFmtId="0" fontId="22" fillId="0" borderId="0" xfId="0" applyFont="1" applyAlignment="1">
      <alignment vertical="center"/>
    </xf>
    <xf numFmtId="0" fontId="22" fillId="0" borderId="84" xfId="0" applyFont="1" applyBorder="1" applyAlignment="1">
      <alignment vertical="center"/>
    </xf>
    <xf numFmtId="0" fontId="0" fillId="0" borderId="66" xfId="0" applyBorder="1" applyAlignment="1">
      <alignment vertical="center"/>
    </xf>
    <xf numFmtId="0" fontId="0" fillId="0" borderId="9" xfId="0" applyBorder="1" applyAlignment="1">
      <alignment vertical="center"/>
    </xf>
    <xf numFmtId="0" fontId="0" fillId="0" borderId="32" xfId="0" applyBorder="1" applyAlignment="1">
      <alignment vertical="center"/>
    </xf>
    <xf numFmtId="0" fontId="12" fillId="0" borderId="88" xfId="0" applyFont="1" applyBorder="1" applyAlignment="1">
      <alignment horizontal="center" vertical="center" wrapText="1"/>
    </xf>
    <xf numFmtId="0" fontId="12" fillId="0" borderId="89" xfId="0" applyFont="1" applyBorder="1" applyAlignment="1">
      <alignment horizontal="center" vertical="center" wrapText="1"/>
    </xf>
    <xf numFmtId="0" fontId="12" fillId="0" borderId="71" xfId="0" applyFont="1" applyBorder="1" applyAlignment="1">
      <alignment horizontal="center" vertical="center" wrapText="1"/>
    </xf>
    <xf numFmtId="0" fontId="12" fillId="0" borderId="67" xfId="0" applyFont="1" applyBorder="1" applyAlignment="1">
      <alignment horizontal="center" vertical="center" wrapText="1"/>
    </xf>
    <xf numFmtId="0" fontId="12" fillId="0" borderId="6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70" xfId="0" applyFont="1" applyBorder="1" applyAlignment="1">
      <alignment horizontal="center" vertical="center" wrapText="1"/>
    </xf>
    <xf numFmtId="0" fontId="12" fillId="5" borderId="11" xfId="0" applyFont="1" applyFill="1" applyBorder="1" applyAlignment="1">
      <alignment horizontal="center" vertical="center" wrapText="1"/>
    </xf>
    <xf numFmtId="0" fontId="12" fillId="5" borderId="70" xfId="0" applyFont="1" applyFill="1" applyBorder="1" applyAlignment="1">
      <alignment horizontal="center" vertical="center" wrapText="1"/>
    </xf>
    <xf numFmtId="0" fontId="12" fillId="0" borderId="114" xfId="0" applyFont="1" applyBorder="1" applyAlignment="1">
      <alignment horizontal="center" vertical="center" wrapText="1"/>
    </xf>
    <xf numFmtId="0" fontId="12" fillId="0" borderId="115" xfId="0" applyFont="1" applyBorder="1" applyAlignment="1">
      <alignment horizontal="center" vertical="center" wrapText="1"/>
    </xf>
    <xf numFmtId="0" fontId="12" fillId="0" borderId="98" xfId="0" applyFont="1" applyBorder="1" applyAlignment="1">
      <alignment horizontal="center" vertical="center" wrapText="1"/>
    </xf>
    <xf numFmtId="0" fontId="12" fillId="0" borderId="113" xfId="0" applyFont="1" applyBorder="1" applyAlignment="1">
      <alignment horizontal="center" vertical="center" wrapText="1"/>
    </xf>
    <xf numFmtId="0" fontId="12" fillId="0" borderId="116" xfId="0" applyFont="1" applyBorder="1" applyAlignment="1">
      <alignment horizontal="center" vertical="center" wrapText="1"/>
    </xf>
  </cellXfs>
  <cellStyles count="1">
    <cellStyle name="표준" xfId="0" builtinId="0"/>
  </cellStyles>
  <dxfs count="27">
    <dxf>
      <font>
        <b/>
        <i val="0"/>
        <color theme="0"/>
      </font>
      <fill>
        <patternFill>
          <bgColor rgb="FFFF0000"/>
        </patternFill>
      </fill>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border>
        <bottom style="hair">
          <color auto="1"/>
        </bottom>
        <vertical/>
        <horizontal/>
      </border>
    </dxf>
    <dxf>
      <font>
        <strike val="0"/>
        <outline val="0"/>
        <shadow val="0"/>
        <u val="none"/>
        <vertAlign val="baseline"/>
        <name val="맑은 고딕"/>
        <family val="3"/>
        <charset val="129"/>
        <scheme val="minor"/>
      </font>
      <fill>
        <patternFill patternType="solid">
          <fgColor indexed="64"/>
          <bgColor theme="0"/>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맑은 고딕"/>
        <family val="3"/>
        <charset val="129"/>
        <scheme val="minor"/>
      </font>
      <fill>
        <patternFill patternType="solid">
          <fgColor indexed="64"/>
          <bgColor theme="0"/>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맑은 고딕"/>
        <family val="3"/>
        <charset val="129"/>
        <scheme val="minor"/>
      </font>
      <fill>
        <patternFill patternType="solid">
          <fgColor indexed="64"/>
          <bgColor theme="0"/>
        </patternFill>
      </fill>
      <alignment horizontal="center" vertical="center" textRotation="0" wrapText="1" indent="0" justifyLastLine="0" shrinkToFit="0" readingOrder="0"/>
      <border diagonalUp="0" diagonalDown="0" outline="0">
        <left/>
        <right/>
        <top/>
        <bottom style="hair">
          <color indexed="64"/>
        </bottom>
      </border>
    </dxf>
    <dxf>
      <font>
        <b/>
        <i val="0"/>
        <strike val="0"/>
        <condense val="0"/>
        <extend val="0"/>
        <outline val="0"/>
        <shadow val="0"/>
        <u val="none"/>
        <vertAlign val="baseline"/>
        <sz val="10"/>
        <color auto="1"/>
        <name val="맑은 고딕"/>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맑은 고딕"/>
        <family val="3"/>
        <charset val="129"/>
        <scheme val="minor"/>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hair">
          <color indexed="64"/>
        </top>
        <bottom style="thin">
          <color indexed="64"/>
        </bottom>
      </border>
    </dxf>
    <dxf>
      <font>
        <b/>
        <i val="0"/>
        <strike val="0"/>
        <condense val="0"/>
        <extend val="0"/>
        <outline val="0"/>
        <shadow val="0"/>
        <u val="none"/>
        <vertAlign val="baseline"/>
        <sz val="10"/>
        <color auto="1"/>
        <name val="맑은 고딕"/>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right style="thin">
          <color indexed="64"/>
        </right>
        <top/>
        <bottom/>
      </border>
    </dxf>
    <dxf>
      <border outline="0">
        <left style="thin">
          <color rgb="FF000000"/>
        </left>
        <right style="thin">
          <color rgb="FF000000"/>
        </right>
        <top style="medium">
          <color rgb="FF000000"/>
        </top>
        <bottom style="hair">
          <color rgb="FF000000"/>
        </bottom>
      </border>
    </dxf>
    <dxf>
      <font>
        <strike val="0"/>
        <outline val="0"/>
        <shadow val="0"/>
        <u val="none"/>
        <vertAlign val="baseline"/>
        <name val="맑은 고딕"/>
        <family val="3"/>
        <charset val="129"/>
        <scheme val="none"/>
      </font>
      <fill>
        <patternFill patternType="solid">
          <fgColor rgb="FF000000"/>
          <bgColor rgb="FFFFFFFF"/>
        </patternFill>
      </fill>
    </dxf>
    <dxf>
      <font>
        <b/>
        <i val="0"/>
        <strike val="0"/>
        <condense val="0"/>
        <extend val="0"/>
        <outline val="0"/>
        <shadow val="0"/>
        <u val="none"/>
        <vertAlign val="baseline"/>
        <sz val="10"/>
        <color auto="1"/>
        <name val="맑은 고딕"/>
        <family val="3"/>
        <charset val="129"/>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bottom style="medium">
          <color theme="1"/>
        </bottom>
      </border>
    </dxf>
    <dxf>
      <border>
        <bottom style="medium">
          <color auto="1"/>
        </bottom>
      </border>
    </dxf>
  </dxfs>
  <tableStyles count="2" defaultTableStyle="TableStyleMedium9" defaultPivotStyle="PivotStyleLight16">
    <tableStyle name="표 스타일 1" pivot="0" count="1" xr9:uid="{00000000-0011-0000-FFFF-FFFF00000000}">
      <tableStyleElement type="wholeTable" dxfId="26"/>
    </tableStyle>
    <tableStyle name="표 스타일 2" pivot="0" count="1" xr9:uid="{00000000-0011-0000-FFFF-FFFF01000000}">
      <tableStyleElement type="lastColumn" dxfId="25"/>
    </tableStyle>
  </tableStyles>
  <colors>
    <mruColors>
      <color rgb="FFF4FBCD"/>
      <color rgb="FFD5F03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67</xdr:row>
      <xdr:rowOff>175260</xdr:rowOff>
    </xdr:from>
    <xdr:to>
      <xdr:col>9</xdr:col>
      <xdr:colOff>50674</xdr:colOff>
      <xdr:row>80</xdr:row>
      <xdr:rowOff>54963</xdr:rowOff>
    </xdr:to>
    <xdr:pic>
      <xdr:nvPicPr>
        <xdr:cNvPr id="11" name="그림 10">
          <a:extLst>
            <a:ext uri="{FF2B5EF4-FFF2-40B4-BE49-F238E27FC236}">
              <a16:creationId xmlns:a16="http://schemas.microsoft.com/office/drawing/2014/main" id="{33834ED7-098B-4449-BA66-EE599DC67909}"/>
            </a:ext>
          </a:extLst>
        </xdr:cNvPr>
        <xdr:cNvPicPr>
          <a:picLocks noChangeAspect="1"/>
        </xdr:cNvPicPr>
      </xdr:nvPicPr>
      <xdr:blipFill>
        <a:blip xmlns:r="http://schemas.openxmlformats.org/officeDocument/2006/relationships" r:embed="rId1"/>
        <a:stretch>
          <a:fillRect/>
        </a:stretch>
      </xdr:blipFill>
      <xdr:spPr>
        <a:xfrm>
          <a:off x="0" y="12428220"/>
          <a:ext cx="6085714" cy="2257143"/>
        </a:xfrm>
        <a:prstGeom prst="rect">
          <a:avLst/>
        </a:prstGeom>
      </xdr:spPr>
    </xdr:pic>
    <xdr:clientData/>
  </xdr:twoCellAnchor>
  <xdr:twoCellAnchor editAs="oneCell">
    <xdr:from>
      <xdr:col>0</xdr:col>
      <xdr:colOff>0</xdr:colOff>
      <xdr:row>80</xdr:row>
      <xdr:rowOff>30480</xdr:rowOff>
    </xdr:from>
    <xdr:to>
      <xdr:col>6</xdr:col>
      <xdr:colOff>224259</xdr:colOff>
      <xdr:row>104</xdr:row>
      <xdr:rowOff>98503</xdr:rowOff>
    </xdr:to>
    <xdr:pic>
      <xdr:nvPicPr>
        <xdr:cNvPr id="12" name="그림 11">
          <a:extLst>
            <a:ext uri="{FF2B5EF4-FFF2-40B4-BE49-F238E27FC236}">
              <a16:creationId xmlns:a16="http://schemas.microsoft.com/office/drawing/2014/main" id="{9C1BE7EE-71F8-408A-AFEF-8A22A6207F72}"/>
            </a:ext>
          </a:extLst>
        </xdr:cNvPr>
        <xdr:cNvPicPr>
          <a:picLocks noChangeAspect="1"/>
        </xdr:cNvPicPr>
      </xdr:nvPicPr>
      <xdr:blipFill>
        <a:blip xmlns:r="http://schemas.openxmlformats.org/officeDocument/2006/relationships" r:embed="rId2"/>
        <a:stretch>
          <a:fillRect/>
        </a:stretch>
      </xdr:blipFill>
      <xdr:spPr>
        <a:xfrm>
          <a:off x="0" y="14660880"/>
          <a:ext cx="4247619" cy="4457143"/>
        </a:xfrm>
        <a:prstGeom prst="rect">
          <a:avLst/>
        </a:prstGeom>
      </xdr:spPr>
    </xdr:pic>
    <xdr:clientData/>
  </xdr:twoCellAnchor>
  <xdr:twoCellAnchor editAs="oneCell">
    <xdr:from>
      <xdr:col>0</xdr:col>
      <xdr:colOff>0</xdr:colOff>
      <xdr:row>104</xdr:row>
      <xdr:rowOff>83820</xdr:rowOff>
    </xdr:from>
    <xdr:to>
      <xdr:col>8</xdr:col>
      <xdr:colOff>273615</xdr:colOff>
      <xdr:row>128</xdr:row>
      <xdr:rowOff>104224</xdr:rowOff>
    </xdr:to>
    <xdr:pic>
      <xdr:nvPicPr>
        <xdr:cNvPr id="13" name="그림 12">
          <a:extLst>
            <a:ext uri="{FF2B5EF4-FFF2-40B4-BE49-F238E27FC236}">
              <a16:creationId xmlns:a16="http://schemas.microsoft.com/office/drawing/2014/main" id="{FBF1F749-0A99-4A1A-B037-3FCD44DAC109}"/>
            </a:ext>
          </a:extLst>
        </xdr:cNvPr>
        <xdr:cNvPicPr>
          <a:picLocks noChangeAspect="1"/>
        </xdr:cNvPicPr>
      </xdr:nvPicPr>
      <xdr:blipFill>
        <a:blip xmlns:r="http://schemas.openxmlformats.org/officeDocument/2006/relationships" r:embed="rId3"/>
        <a:stretch>
          <a:fillRect/>
        </a:stretch>
      </xdr:blipFill>
      <xdr:spPr>
        <a:xfrm>
          <a:off x="0" y="19103340"/>
          <a:ext cx="5638095" cy="4409524"/>
        </a:xfrm>
        <a:prstGeom prst="rect">
          <a:avLst/>
        </a:prstGeom>
      </xdr:spPr>
    </xdr:pic>
    <xdr:clientData/>
  </xdr:twoCellAnchor>
  <xdr:twoCellAnchor editAs="oneCell">
    <xdr:from>
      <xdr:col>0</xdr:col>
      <xdr:colOff>0</xdr:colOff>
      <xdr:row>0</xdr:row>
      <xdr:rowOff>0</xdr:rowOff>
    </xdr:from>
    <xdr:to>
      <xdr:col>9</xdr:col>
      <xdr:colOff>469722</xdr:colOff>
      <xdr:row>16</xdr:row>
      <xdr:rowOff>112015</xdr:rowOff>
    </xdr:to>
    <xdr:pic>
      <xdr:nvPicPr>
        <xdr:cNvPr id="14" name="그림 13">
          <a:extLst>
            <a:ext uri="{FF2B5EF4-FFF2-40B4-BE49-F238E27FC236}">
              <a16:creationId xmlns:a16="http://schemas.microsoft.com/office/drawing/2014/main" id="{23447CD6-B842-4626-B9F3-B78E14AFD9FE}"/>
            </a:ext>
          </a:extLst>
        </xdr:cNvPr>
        <xdr:cNvPicPr>
          <a:picLocks noChangeAspect="1"/>
        </xdr:cNvPicPr>
      </xdr:nvPicPr>
      <xdr:blipFill>
        <a:blip xmlns:r="http://schemas.openxmlformats.org/officeDocument/2006/relationships" r:embed="rId4"/>
        <a:stretch>
          <a:fillRect/>
        </a:stretch>
      </xdr:blipFill>
      <xdr:spPr>
        <a:xfrm>
          <a:off x="0" y="0"/>
          <a:ext cx="6504762" cy="3038095"/>
        </a:xfrm>
        <a:prstGeom prst="rect">
          <a:avLst/>
        </a:prstGeom>
      </xdr:spPr>
    </xdr:pic>
    <xdr:clientData/>
  </xdr:twoCellAnchor>
  <xdr:twoCellAnchor editAs="oneCell">
    <xdr:from>
      <xdr:col>0</xdr:col>
      <xdr:colOff>0</xdr:colOff>
      <xdr:row>16</xdr:row>
      <xdr:rowOff>60960</xdr:rowOff>
    </xdr:from>
    <xdr:to>
      <xdr:col>8</xdr:col>
      <xdr:colOff>349806</xdr:colOff>
      <xdr:row>42</xdr:row>
      <xdr:rowOff>115604</xdr:rowOff>
    </xdr:to>
    <xdr:pic>
      <xdr:nvPicPr>
        <xdr:cNvPr id="15" name="그림 14">
          <a:extLst>
            <a:ext uri="{FF2B5EF4-FFF2-40B4-BE49-F238E27FC236}">
              <a16:creationId xmlns:a16="http://schemas.microsoft.com/office/drawing/2014/main" id="{F4667A51-1A55-4A9E-9866-059B11050770}"/>
            </a:ext>
          </a:extLst>
        </xdr:cNvPr>
        <xdr:cNvPicPr>
          <a:picLocks noChangeAspect="1"/>
        </xdr:cNvPicPr>
      </xdr:nvPicPr>
      <xdr:blipFill>
        <a:blip xmlns:r="http://schemas.openxmlformats.org/officeDocument/2006/relationships" r:embed="rId5"/>
        <a:stretch>
          <a:fillRect/>
        </a:stretch>
      </xdr:blipFill>
      <xdr:spPr>
        <a:xfrm>
          <a:off x="0" y="2987040"/>
          <a:ext cx="5714286" cy="4809524"/>
        </a:xfrm>
        <a:prstGeom prst="rect">
          <a:avLst/>
        </a:prstGeom>
      </xdr:spPr>
    </xdr:pic>
    <xdr:clientData/>
  </xdr:twoCellAnchor>
  <xdr:twoCellAnchor editAs="oneCell">
    <xdr:from>
      <xdr:col>0</xdr:col>
      <xdr:colOff>15240</xdr:colOff>
      <xdr:row>42</xdr:row>
      <xdr:rowOff>144780</xdr:rowOff>
    </xdr:from>
    <xdr:to>
      <xdr:col>10</xdr:col>
      <xdr:colOff>350520</xdr:colOff>
      <xdr:row>67</xdr:row>
      <xdr:rowOff>155680</xdr:rowOff>
    </xdr:to>
    <xdr:pic>
      <xdr:nvPicPr>
        <xdr:cNvPr id="2" name="그림 1">
          <a:extLst>
            <a:ext uri="{FF2B5EF4-FFF2-40B4-BE49-F238E27FC236}">
              <a16:creationId xmlns:a16="http://schemas.microsoft.com/office/drawing/2014/main" id="{F5453680-7BA5-4840-8A3C-D2E47BEC79B6}"/>
            </a:ext>
          </a:extLst>
        </xdr:cNvPr>
        <xdr:cNvPicPr>
          <a:picLocks noChangeAspect="1"/>
        </xdr:cNvPicPr>
      </xdr:nvPicPr>
      <xdr:blipFill>
        <a:blip xmlns:r="http://schemas.openxmlformats.org/officeDocument/2006/relationships" r:embed="rId6"/>
        <a:stretch>
          <a:fillRect/>
        </a:stretch>
      </xdr:blipFill>
      <xdr:spPr>
        <a:xfrm>
          <a:off x="15240" y="7825740"/>
          <a:ext cx="7040880" cy="45829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F20970-E684-4628-B1AF-AC2A90527328}" name="표3_2" displayName="표3_2" ref="E7:H81" headerRowCount="0" totalsRowShown="0" headerRowDxfId="24" dataDxfId="23" tableBorderDxfId="22">
  <tableColumns count="4">
    <tableColumn id="1" xr3:uid="{A3E566A4-724D-471D-BEF1-C0DD860EC052}" name="기준_x000a_학점" headerRowDxfId="21" dataDxfId="20">
      <calculatedColumnFormula>IFERROR(VLOOKUP(D7, 기본학점, 2, FALSE), "")</calculatedColumnFormula>
    </tableColumn>
    <tableColumn id="2" xr3:uid="{FE9923D3-EEBC-4DB6-BE5D-F428A14B6C20}" name="운영_x000a_학점" headerRowDxfId="19" dataDxfId="18"/>
    <tableColumn id="3" xr3:uid="{C66AFF9A-A1BC-4899-B079-0A066EA5AB85}" name="세로 막대형1" headerRowDxfId="17" dataDxfId="16"/>
    <tableColumn id="4" xr3:uid="{3F28E126-C4BE-4C7D-B980-EEBEFBD6D2F3}" name="세로 막대형2" headerRowDxfId="15" dataDxfId="14"/>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0764-9296-47B9-89CC-BBC69ADB93D8}">
  <dimension ref="A1:P98"/>
  <sheetViews>
    <sheetView tabSelected="1" view="pageBreakPreview" zoomScale="75" zoomScaleNormal="115" zoomScaleSheetLayoutView="75" workbookViewId="0">
      <selection activeCell="D8" sqref="D8"/>
    </sheetView>
  </sheetViews>
  <sheetFormatPr defaultRowHeight="14.4" x14ac:dyDescent="0.25"/>
  <cols>
    <col min="1" max="1" width="4.3984375" style="4" customWidth="1"/>
    <col min="2" max="2" width="13" style="3" customWidth="1"/>
    <col min="3" max="3" width="7.59765625" style="3" customWidth="1"/>
    <col min="4" max="4" width="22" style="3" customWidth="1"/>
    <col min="5" max="12" width="5.796875" style="3" customWidth="1"/>
    <col min="13" max="14" width="13.69921875" style="3" customWidth="1"/>
    <col min="15" max="16" width="5.796875" style="3" customWidth="1"/>
    <col min="80" max="80" width="3.59765625" customWidth="1"/>
    <col min="81" max="83" width="5.796875" customWidth="1"/>
    <col min="84" max="84" width="11.09765625" customWidth="1"/>
    <col min="85" max="92" width="5.796875" customWidth="1"/>
    <col min="93" max="93" width="7.09765625" customWidth="1"/>
    <col min="94" max="95" width="5.796875" customWidth="1"/>
    <col min="96" max="96" width="6" customWidth="1"/>
    <col min="336" max="336" width="3.59765625" customWidth="1"/>
    <col min="337" max="339" width="5.796875" customWidth="1"/>
    <col min="340" max="340" width="11.09765625" customWidth="1"/>
    <col min="341" max="348" width="5.796875" customWidth="1"/>
    <col min="349" max="349" width="7.09765625" customWidth="1"/>
    <col min="350" max="351" width="5.796875" customWidth="1"/>
    <col min="352" max="352" width="6" customWidth="1"/>
    <col min="592" max="592" width="3.59765625" customWidth="1"/>
    <col min="593" max="595" width="5.796875" customWidth="1"/>
    <col min="596" max="596" width="11.09765625" customWidth="1"/>
    <col min="597" max="604" width="5.796875" customWidth="1"/>
    <col min="605" max="605" width="7.09765625" customWidth="1"/>
    <col min="606" max="607" width="5.796875" customWidth="1"/>
    <col min="608" max="608" width="6" customWidth="1"/>
    <col min="848" max="848" width="3.59765625" customWidth="1"/>
    <col min="849" max="851" width="5.796875" customWidth="1"/>
    <col min="852" max="852" width="11.09765625" customWidth="1"/>
    <col min="853" max="860" width="5.796875" customWidth="1"/>
    <col min="861" max="861" width="7.09765625" customWidth="1"/>
    <col min="862" max="863" width="5.796875" customWidth="1"/>
    <col min="864" max="864" width="6" customWidth="1"/>
    <col min="1104" max="1104" width="3.59765625" customWidth="1"/>
    <col min="1105" max="1107" width="5.796875" customWidth="1"/>
    <col min="1108" max="1108" width="11.09765625" customWidth="1"/>
    <col min="1109" max="1116" width="5.796875" customWidth="1"/>
    <col min="1117" max="1117" width="7.09765625" customWidth="1"/>
    <col min="1118" max="1119" width="5.796875" customWidth="1"/>
    <col min="1120" max="1120" width="6" customWidth="1"/>
    <col min="1360" max="1360" width="3.59765625" customWidth="1"/>
    <col min="1361" max="1363" width="5.796875" customWidth="1"/>
    <col min="1364" max="1364" width="11.09765625" customWidth="1"/>
    <col min="1365" max="1372" width="5.796875" customWidth="1"/>
    <col min="1373" max="1373" width="7.09765625" customWidth="1"/>
    <col min="1374" max="1375" width="5.796875" customWidth="1"/>
    <col min="1376" max="1376" width="6" customWidth="1"/>
    <col min="1616" max="1616" width="3.59765625" customWidth="1"/>
    <col min="1617" max="1619" width="5.796875" customWidth="1"/>
    <col min="1620" max="1620" width="11.09765625" customWidth="1"/>
    <col min="1621" max="1628" width="5.796875" customWidth="1"/>
    <col min="1629" max="1629" width="7.09765625" customWidth="1"/>
    <col min="1630" max="1631" width="5.796875" customWidth="1"/>
    <col min="1632" max="1632" width="6" customWidth="1"/>
    <col min="1872" max="1872" width="3.59765625" customWidth="1"/>
    <col min="1873" max="1875" width="5.796875" customWidth="1"/>
    <col min="1876" max="1876" width="11.09765625" customWidth="1"/>
    <col min="1877" max="1884" width="5.796875" customWidth="1"/>
    <col min="1885" max="1885" width="7.09765625" customWidth="1"/>
    <col min="1886" max="1887" width="5.796875" customWidth="1"/>
    <col min="1888" max="1888" width="6" customWidth="1"/>
    <col min="2128" max="2128" width="3.59765625" customWidth="1"/>
    <col min="2129" max="2131" width="5.796875" customWidth="1"/>
    <col min="2132" max="2132" width="11.09765625" customWidth="1"/>
    <col min="2133" max="2140" width="5.796875" customWidth="1"/>
    <col min="2141" max="2141" width="7.09765625" customWidth="1"/>
    <col min="2142" max="2143" width="5.796875" customWidth="1"/>
    <col min="2144" max="2144" width="6" customWidth="1"/>
    <col min="2384" max="2384" width="3.59765625" customWidth="1"/>
    <col min="2385" max="2387" width="5.796875" customWidth="1"/>
    <col min="2388" max="2388" width="11.09765625" customWidth="1"/>
    <col min="2389" max="2396" width="5.796875" customWidth="1"/>
    <col min="2397" max="2397" width="7.09765625" customWidth="1"/>
    <col min="2398" max="2399" width="5.796875" customWidth="1"/>
    <col min="2400" max="2400" width="6" customWidth="1"/>
    <col min="2640" max="2640" width="3.59765625" customWidth="1"/>
    <col min="2641" max="2643" width="5.796875" customWidth="1"/>
    <col min="2644" max="2644" width="11.09765625" customWidth="1"/>
    <col min="2645" max="2652" width="5.796875" customWidth="1"/>
    <col min="2653" max="2653" width="7.09765625" customWidth="1"/>
    <col min="2654" max="2655" width="5.796875" customWidth="1"/>
    <col min="2656" max="2656" width="6" customWidth="1"/>
    <col min="2896" max="2896" width="3.59765625" customWidth="1"/>
    <col min="2897" max="2899" width="5.796875" customWidth="1"/>
    <col min="2900" max="2900" width="11.09765625" customWidth="1"/>
    <col min="2901" max="2908" width="5.796875" customWidth="1"/>
    <col min="2909" max="2909" width="7.09765625" customWidth="1"/>
    <col min="2910" max="2911" width="5.796875" customWidth="1"/>
    <col min="2912" max="2912" width="6" customWidth="1"/>
    <col min="3152" max="3152" width="3.59765625" customWidth="1"/>
    <col min="3153" max="3155" width="5.796875" customWidth="1"/>
    <col min="3156" max="3156" width="11.09765625" customWidth="1"/>
    <col min="3157" max="3164" width="5.796875" customWidth="1"/>
    <col min="3165" max="3165" width="7.09765625" customWidth="1"/>
    <col min="3166" max="3167" width="5.796875" customWidth="1"/>
    <col min="3168" max="3168" width="6" customWidth="1"/>
    <col min="3408" max="3408" width="3.59765625" customWidth="1"/>
    <col min="3409" max="3411" width="5.796875" customWidth="1"/>
    <col min="3412" max="3412" width="11.09765625" customWidth="1"/>
    <col min="3413" max="3420" width="5.796875" customWidth="1"/>
    <col min="3421" max="3421" width="7.09765625" customWidth="1"/>
    <col min="3422" max="3423" width="5.796875" customWidth="1"/>
    <col min="3424" max="3424" width="6" customWidth="1"/>
    <col min="3664" max="3664" width="3.59765625" customWidth="1"/>
    <col min="3665" max="3667" width="5.796875" customWidth="1"/>
    <col min="3668" max="3668" width="11.09765625" customWidth="1"/>
    <col min="3669" max="3676" width="5.796875" customWidth="1"/>
    <col min="3677" max="3677" width="7.09765625" customWidth="1"/>
    <col min="3678" max="3679" width="5.796875" customWidth="1"/>
    <col min="3680" max="3680" width="6" customWidth="1"/>
    <col min="3920" max="3920" width="3.59765625" customWidth="1"/>
    <col min="3921" max="3923" width="5.796875" customWidth="1"/>
    <col min="3924" max="3924" width="11.09765625" customWidth="1"/>
    <col min="3925" max="3932" width="5.796875" customWidth="1"/>
    <col min="3933" max="3933" width="7.09765625" customWidth="1"/>
    <col min="3934" max="3935" width="5.796875" customWidth="1"/>
    <col min="3936" max="3936" width="6" customWidth="1"/>
    <col min="4176" max="4176" width="3.59765625" customWidth="1"/>
    <col min="4177" max="4179" width="5.796875" customWidth="1"/>
    <col min="4180" max="4180" width="11.09765625" customWidth="1"/>
    <col min="4181" max="4188" width="5.796875" customWidth="1"/>
    <col min="4189" max="4189" width="7.09765625" customWidth="1"/>
    <col min="4190" max="4191" width="5.796875" customWidth="1"/>
    <col min="4192" max="4192" width="6" customWidth="1"/>
    <col min="4432" max="4432" width="3.59765625" customWidth="1"/>
    <col min="4433" max="4435" width="5.796875" customWidth="1"/>
    <col min="4436" max="4436" width="11.09765625" customWidth="1"/>
    <col min="4437" max="4444" width="5.796875" customWidth="1"/>
    <col min="4445" max="4445" width="7.09765625" customWidth="1"/>
    <col min="4446" max="4447" width="5.796875" customWidth="1"/>
    <col min="4448" max="4448" width="6" customWidth="1"/>
    <col min="4688" max="4688" width="3.59765625" customWidth="1"/>
    <col min="4689" max="4691" width="5.796875" customWidth="1"/>
    <col min="4692" max="4692" width="11.09765625" customWidth="1"/>
    <col min="4693" max="4700" width="5.796875" customWidth="1"/>
    <col min="4701" max="4701" width="7.09765625" customWidth="1"/>
    <col min="4702" max="4703" width="5.796875" customWidth="1"/>
    <col min="4704" max="4704" width="6" customWidth="1"/>
    <col min="4944" max="4944" width="3.59765625" customWidth="1"/>
    <col min="4945" max="4947" width="5.796875" customWidth="1"/>
    <col min="4948" max="4948" width="11.09765625" customWidth="1"/>
    <col min="4949" max="4956" width="5.796875" customWidth="1"/>
    <col min="4957" max="4957" width="7.09765625" customWidth="1"/>
    <col min="4958" max="4959" width="5.796875" customWidth="1"/>
    <col min="4960" max="4960" width="6" customWidth="1"/>
    <col min="5200" max="5200" width="3.59765625" customWidth="1"/>
    <col min="5201" max="5203" width="5.796875" customWidth="1"/>
    <col min="5204" max="5204" width="11.09765625" customWidth="1"/>
    <col min="5205" max="5212" width="5.796875" customWidth="1"/>
    <col min="5213" max="5213" width="7.09765625" customWidth="1"/>
    <col min="5214" max="5215" width="5.796875" customWidth="1"/>
    <col min="5216" max="5216" width="6" customWidth="1"/>
    <col min="5456" max="5456" width="3.59765625" customWidth="1"/>
    <col min="5457" max="5459" width="5.796875" customWidth="1"/>
    <col min="5460" max="5460" width="11.09765625" customWidth="1"/>
    <col min="5461" max="5468" width="5.796875" customWidth="1"/>
    <col min="5469" max="5469" width="7.09765625" customWidth="1"/>
    <col min="5470" max="5471" width="5.796875" customWidth="1"/>
    <col min="5472" max="5472" width="6" customWidth="1"/>
    <col min="5712" max="5712" width="3.59765625" customWidth="1"/>
    <col min="5713" max="5715" width="5.796875" customWidth="1"/>
    <col min="5716" max="5716" width="11.09765625" customWidth="1"/>
    <col min="5717" max="5724" width="5.796875" customWidth="1"/>
    <col min="5725" max="5725" width="7.09765625" customWidth="1"/>
    <col min="5726" max="5727" width="5.796875" customWidth="1"/>
    <col min="5728" max="5728" width="6" customWidth="1"/>
    <col min="5968" max="5968" width="3.59765625" customWidth="1"/>
    <col min="5969" max="5971" width="5.796875" customWidth="1"/>
    <col min="5972" max="5972" width="11.09765625" customWidth="1"/>
    <col min="5973" max="5980" width="5.796875" customWidth="1"/>
    <col min="5981" max="5981" width="7.09765625" customWidth="1"/>
    <col min="5982" max="5983" width="5.796875" customWidth="1"/>
    <col min="5984" max="5984" width="6" customWidth="1"/>
    <col min="6224" max="6224" width="3.59765625" customWidth="1"/>
    <col min="6225" max="6227" width="5.796875" customWidth="1"/>
    <col min="6228" max="6228" width="11.09765625" customWidth="1"/>
    <col min="6229" max="6236" width="5.796875" customWidth="1"/>
    <col min="6237" max="6237" width="7.09765625" customWidth="1"/>
    <col min="6238" max="6239" width="5.796875" customWidth="1"/>
    <col min="6240" max="6240" width="6" customWidth="1"/>
    <col min="6480" max="6480" width="3.59765625" customWidth="1"/>
    <col min="6481" max="6483" width="5.796875" customWidth="1"/>
    <col min="6484" max="6484" width="11.09765625" customWidth="1"/>
    <col min="6485" max="6492" width="5.796875" customWidth="1"/>
    <col min="6493" max="6493" width="7.09765625" customWidth="1"/>
    <col min="6494" max="6495" width="5.796875" customWidth="1"/>
    <col min="6496" max="6496" width="6" customWidth="1"/>
    <col min="6736" max="6736" width="3.59765625" customWidth="1"/>
    <col min="6737" max="6739" width="5.796875" customWidth="1"/>
    <col min="6740" max="6740" width="11.09765625" customWidth="1"/>
    <col min="6741" max="6748" width="5.796875" customWidth="1"/>
    <col min="6749" max="6749" width="7.09765625" customWidth="1"/>
    <col min="6750" max="6751" width="5.796875" customWidth="1"/>
    <col min="6752" max="6752" width="6" customWidth="1"/>
    <col min="6992" max="6992" width="3.59765625" customWidth="1"/>
    <col min="6993" max="6995" width="5.796875" customWidth="1"/>
    <col min="6996" max="6996" width="11.09765625" customWidth="1"/>
    <col min="6997" max="7004" width="5.796875" customWidth="1"/>
    <col min="7005" max="7005" width="7.09765625" customWidth="1"/>
    <col min="7006" max="7007" width="5.796875" customWidth="1"/>
    <col min="7008" max="7008" width="6" customWidth="1"/>
    <col min="7248" max="7248" width="3.59765625" customWidth="1"/>
    <col min="7249" max="7251" width="5.796875" customWidth="1"/>
    <col min="7252" max="7252" width="11.09765625" customWidth="1"/>
    <col min="7253" max="7260" width="5.796875" customWidth="1"/>
    <col min="7261" max="7261" width="7.09765625" customWidth="1"/>
    <col min="7262" max="7263" width="5.796875" customWidth="1"/>
    <col min="7264" max="7264" width="6" customWidth="1"/>
    <col min="7504" max="7504" width="3.59765625" customWidth="1"/>
    <col min="7505" max="7507" width="5.796875" customWidth="1"/>
    <col min="7508" max="7508" width="11.09765625" customWidth="1"/>
    <col min="7509" max="7516" width="5.796875" customWidth="1"/>
    <col min="7517" max="7517" width="7.09765625" customWidth="1"/>
    <col min="7518" max="7519" width="5.796875" customWidth="1"/>
    <col min="7520" max="7520" width="6" customWidth="1"/>
    <col min="7760" max="7760" width="3.59765625" customWidth="1"/>
    <col min="7761" max="7763" width="5.796875" customWidth="1"/>
    <col min="7764" max="7764" width="11.09765625" customWidth="1"/>
    <col min="7765" max="7772" width="5.796875" customWidth="1"/>
    <col min="7773" max="7773" width="7.09765625" customWidth="1"/>
    <col min="7774" max="7775" width="5.796875" customWidth="1"/>
    <col min="7776" max="7776" width="6" customWidth="1"/>
    <col min="8016" max="8016" width="3.59765625" customWidth="1"/>
    <col min="8017" max="8019" width="5.796875" customWidth="1"/>
    <col min="8020" max="8020" width="11.09765625" customWidth="1"/>
    <col min="8021" max="8028" width="5.796875" customWidth="1"/>
    <col min="8029" max="8029" width="7.09765625" customWidth="1"/>
    <col min="8030" max="8031" width="5.796875" customWidth="1"/>
    <col min="8032" max="8032" width="6" customWidth="1"/>
    <col min="8272" max="8272" width="3.59765625" customWidth="1"/>
    <col min="8273" max="8275" width="5.796875" customWidth="1"/>
    <col min="8276" max="8276" width="11.09765625" customWidth="1"/>
    <col min="8277" max="8284" width="5.796875" customWidth="1"/>
    <col min="8285" max="8285" width="7.09765625" customWidth="1"/>
    <col min="8286" max="8287" width="5.796875" customWidth="1"/>
    <col min="8288" max="8288" width="6" customWidth="1"/>
    <col min="8528" max="8528" width="3.59765625" customWidth="1"/>
    <col min="8529" max="8531" width="5.796875" customWidth="1"/>
    <col min="8532" max="8532" width="11.09765625" customWidth="1"/>
    <col min="8533" max="8540" width="5.796875" customWidth="1"/>
    <col min="8541" max="8541" width="7.09765625" customWidth="1"/>
    <col min="8542" max="8543" width="5.796875" customWidth="1"/>
    <col min="8544" max="8544" width="6" customWidth="1"/>
    <col min="8784" max="8784" width="3.59765625" customWidth="1"/>
    <col min="8785" max="8787" width="5.796875" customWidth="1"/>
    <col min="8788" max="8788" width="11.09765625" customWidth="1"/>
    <col min="8789" max="8796" width="5.796875" customWidth="1"/>
    <col min="8797" max="8797" width="7.09765625" customWidth="1"/>
    <col min="8798" max="8799" width="5.796875" customWidth="1"/>
    <col min="8800" max="8800" width="6" customWidth="1"/>
    <col min="9040" max="9040" width="3.59765625" customWidth="1"/>
    <col min="9041" max="9043" width="5.796875" customWidth="1"/>
    <col min="9044" max="9044" width="11.09765625" customWidth="1"/>
    <col min="9045" max="9052" width="5.796875" customWidth="1"/>
    <col min="9053" max="9053" width="7.09765625" customWidth="1"/>
    <col min="9054" max="9055" width="5.796875" customWidth="1"/>
    <col min="9056" max="9056" width="6" customWidth="1"/>
    <col min="9296" max="9296" width="3.59765625" customWidth="1"/>
    <col min="9297" max="9299" width="5.796875" customWidth="1"/>
    <col min="9300" max="9300" width="11.09765625" customWidth="1"/>
    <col min="9301" max="9308" width="5.796875" customWidth="1"/>
    <col min="9309" max="9309" width="7.09765625" customWidth="1"/>
    <col min="9310" max="9311" width="5.796875" customWidth="1"/>
    <col min="9312" max="9312" width="6" customWidth="1"/>
    <col min="9552" max="9552" width="3.59765625" customWidth="1"/>
    <col min="9553" max="9555" width="5.796875" customWidth="1"/>
    <col min="9556" max="9556" width="11.09765625" customWidth="1"/>
    <col min="9557" max="9564" width="5.796875" customWidth="1"/>
    <col min="9565" max="9565" width="7.09765625" customWidth="1"/>
    <col min="9566" max="9567" width="5.796875" customWidth="1"/>
    <col min="9568" max="9568" width="6" customWidth="1"/>
    <col min="9808" max="9808" width="3.59765625" customWidth="1"/>
    <col min="9809" max="9811" width="5.796875" customWidth="1"/>
    <col min="9812" max="9812" width="11.09765625" customWidth="1"/>
    <col min="9813" max="9820" width="5.796875" customWidth="1"/>
    <col min="9821" max="9821" width="7.09765625" customWidth="1"/>
    <col min="9822" max="9823" width="5.796875" customWidth="1"/>
    <col min="9824" max="9824" width="6" customWidth="1"/>
    <col min="10064" max="10064" width="3.59765625" customWidth="1"/>
    <col min="10065" max="10067" width="5.796875" customWidth="1"/>
    <col min="10068" max="10068" width="11.09765625" customWidth="1"/>
    <col min="10069" max="10076" width="5.796875" customWidth="1"/>
    <col min="10077" max="10077" width="7.09765625" customWidth="1"/>
    <col min="10078" max="10079" width="5.796875" customWidth="1"/>
    <col min="10080" max="10080" width="6" customWidth="1"/>
    <col min="10320" max="10320" width="3.59765625" customWidth="1"/>
    <col min="10321" max="10323" width="5.796875" customWidth="1"/>
    <col min="10324" max="10324" width="11.09765625" customWidth="1"/>
    <col min="10325" max="10332" width="5.796875" customWidth="1"/>
    <col min="10333" max="10333" width="7.09765625" customWidth="1"/>
    <col min="10334" max="10335" width="5.796875" customWidth="1"/>
    <col min="10336" max="10336" width="6" customWidth="1"/>
    <col min="10576" max="10576" width="3.59765625" customWidth="1"/>
    <col min="10577" max="10579" width="5.796875" customWidth="1"/>
    <col min="10580" max="10580" width="11.09765625" customWidth="1"/>
    <col min="10581" max="10588" width="5.796875" customWidth="1"/>
    <col min="10589" max="10589" width="7.09765625" customWidth="1"/>
    <col min="10590" max="10591" width="5.796875" customWidth="1"/>
    <col min="10592" max="10592" width="6" customWidth="1"/>
    <col min="10832" max="10832" width="3.59765625" customWidth="1"/>
    <col min="10833" max="10835" width="5.796875" customWidth="1"/>
    <col min="10836" max="10836" width="11.09765625" customWidth="1"/>
    <col min="10837" max="10844" width="5.796875" customWidth="1"/>
    <col min="10845" max="10845" width="7.09765625" customWidth="1"/>
    <col min="10846" max="10847" width="5.796875" customWidth="1"/>
    <col min="10848" max="10848" width="6" customWidth="1"/>
    <col min="11088" max="11088" width="3.59765625" customWidth="1"/>
    <col min="11089" max="11091" width="5.796875" customWidth="1"/>
    <col min="11092" max="11092" width="11.09765625" customWidth="1"/>
    <col min="11093" max="11100" width="5.796875" customWidth="1"/>
    <col min="11101" max="11101" width="7.09765625" customWidth="1"/>
    <col min="11102" max="11103" width="5.796875" customWidth="1"/>
    <col min="11104" max="11104" width="6" customWidth="1"/>
    <col min="11344" max="11344" width="3.59765625" customWidth="1"/>
    <col min="11345" max="11347" width="5.796875" customWidth="1"/>
    <col min="11348" max="11348" width="11.09765625" customWidth="1"/>
    <col min="11349" max="11356" width="5.796875" customWidth="1"/>
    <col min="11357" max="11357" width="7.09765625" customWidth="1"/>
    <col min="11358" max="11359" width="5.796875" customWidth="1"/>
    <col min="11360" max="11360" width="6" customWidth="1"/>
    <col min="11600" max="11600" width="3.59765625" customWidth="1"/>
    <col min="11601" max="11603" width="5.796875" customWidth="1"/>
    <col min="11604" max="11604" width="11.09765625" customWidth="1"/>
    <col min="11605" max="11612" width="5.796875" customWidth="1"/>
    <col min="11613" max="11613" width="7.09765625" customWidth="1"/>
    <col min="11614" max="11615" width="5.796875" customWidth="1"/>
    <col min="11616" max="11616" width="6" customWidth="1"/>
    <col min="11856" max="11856" width="3.59765625" customWidth="1"/>
    <col min="11857" max="11859" width="5.796875" customWidth="1"/>
    <col min="11860" max="11860" width="11.09765625" customWidth="1"/>
    <col min="11861" max="11868" width="5.796875" customWidth="1"/>
    <col min="11869" max="11869" width="7.09765625" customWidth="1"/>
    <col min="11870" max="11871" width="5.796875" customWidth="1"/>
    <col min="11872" max="11872" width="6" customWidth="1"/>
    <col min="12112" max="12112" width="3.59765625" customWidth="1"/>
    <col min="12113" max="12115" width="5.796875" customWidth="1"/>
    <col min="12116" max="12116" width="11.09765625" customWidth="1"/>
    <col min="12117" max="12124" width="5.796875" customWidth="1"/>
    <col min="12125" max="12125" width="7.09765625" customWidth="1"/>
    <col min="12126" max="12127" width="5.796875" customWidth="1"/>
    <col min="12128" max="12128" width="6" customWidth="1"/>
    <col min="12368" max="12368" width="3.59765625" customWidth="1"/>
    <col min="12369" max="12371" width="5.796875" customWidth="1"/>
    <col min="12372" max="12372" width="11.09765625" customWidth="1"/>
    <col min="12373" max="12380" width="5.796875" customWidth="1"/>
    <col min="12381" max="12381" width="7.09765625" customWidth="1"/>
    <col min="12382" max="12383" width="5.796875" customWidth="1"/>
    <col min="12384" max="12384" width="6" customWidth="1"/>
    <col min="12624" max="12624" width="3.59765625" customWidth="1"/>
    <col min="12625" max="12627" width="5.796875" customWidth="1"/>
    <col min="12628" max="12628" width="11.09765625" customWidth="1"/>
    <col min="12629" max="12636" width="5.796875" customWidth="1"/>
    <col min="12637" max="12637" width="7.09765625" customWidth="1"/>
    <col min="12638" max="12639" width="5.796875" customWidth="1"/>
    <col min="12640" max="12640" width="6" customWidth="1"/>
    <col min="12880" max="12880" width="3.59765625" customWidth="1"/>
    <col min="12881" max="12883" width="5.796875" customWidth="1"/>
    <col min="12884" max="12884" width="11.09765625" customWidth="1"/>
    <col min="12885" max="12892" width="5.796875" customWidth="1"/>
    <col min="12893" max="12893" width="7.09765625" customWidth="1"/>
    <col min="12894" max="12895" width="5.796875" customWidth="1"/>
    <col min="12896" max="12896" width="6" customWidth="1"/>
    <col min="13136" max="13136" width="3.59765625" customWidth="1"/>
    <col min="13137" max="13139" width="5.796875" customWidth="1"/>
    <col min="13140" max="13140" width="11.09765625" customWidth="1"/>
    <col min="13141" max="13148" width="5.796875" customWidth="1"/>
    <col min="13149" max="13149" width="7.09765625" customWidth="1"/>
    <col min="13150" max="13151" width="5.796875" customWidth="1"/>
    <col min="13152" max="13152" width="6" customWidth="1"/>
    <col min="13392" max="13392" width="3.59765625" customWidth="1"/>
    <col min="13393" max="13395" width="5.796875" customWidth="1"/>
    <col min="13396" max="13396" width="11.09765625" customWidth="1"/>
    <col min="13397" max="13404" width="5.796875" customWidth="1"/>
    <col min="13405" max="13405" width="7.09765625" customWidth="1"/>
    <col min="13406" max="13407" width="5.796875" customWidth="1"/>
    <col min="13408" max="13408" width="6" customWidth="1"/>
    <col min="13648" max="13648" width="3.59765625" customWidth="1"/>
    <col min="13649" max="13651" width="5.796875" customWidth="1"/>
    <col min="13652" max="13652" width="11.09765625" customWidth="1"/>
    <col min="13653" max="13660" width="5.796875" customWidth="1"/>
    <col min="13661" max="13661" width="7.09765625" customWidth="1"/>
    <col min="13662" max="13663" width="5.796875" customWidth="1"/>
    <col min="13664" max="13664" width="6" customWidth="1"/>
    <col min="13904" max="13904" width="3.59765625" customWidth="1"/>
    <col min="13905" max="13907" width="5.796875" customWidth="1"/>
    <col min="13908" max="13908" width="11.09765625" customWidth="1"/>
    <col min="13909" max="13916" width="5.796875" customWidth="1"/>
    <col min="13917" max="13917" width="7.09765625" customWidth="1"/>
    <col min="13918" max="13919" width="5.796875" customWidth="1"/>
    <col min="13920" max="13920" width="6" customWidth="1"/>
    <col min="14160" max="14160" width="3.59765625" customWidth="1"/>
    <col min="14161" max="14163" width="5.796875" customWidth="1"/>
    <col min="14164" max="14164" width="11.09765625" customWidth="1"/>
    <col min="14165" max="14172" width="5.796875" customWidth="1"/>
    <col min="14173" max="14173" width="7.09765625" customWidth="1"/>
    <col min="14174" max="14175" width="5.796875" customWidth="1"/>
    <col min="14176" max="14176" width="6" customWidth="1"/>
    <col min="14416" max="14416" width="3.59765625" customWidth="1"/>
    <col min="14417" max="14419" width="5.796875" customWidth="1"/>
    <col min="14420" max="14420" width="11.09765625" customWidth="1"/>
    <col min="14421" max="14428" width="5.796875" customWidth="1"/>
    <col min="14429" max="14429" width="7.09765625" customWidth="1"/>
    <col min="14430" max="14431" width="5.796875" customWidth="1"/>
    <col min="14432" max="14432" width="6" customWidth="1"/>
    <col min="14672" max="14672" width="3.59765625" customWidth="1"/>
    <col min="14673" max="14675" width="5.796875" customWidth="1"/>
    <col min="14676" max="14676" width="11.09765625" customWidth="1"/>
    <col min="14677" max="14684" width="5.796875" customWidth="1"/>
    <col min="14685" max="14685" width="7.09765625" customWidth="1"/>
    <col min="14686" max="14687" width="5.796875" customWidth="1"/>
    <col min="14688" max="14688" width="6" customWidth="1"/>
    <col min="14928" max="14928" width="3.59765625" customWidth="1"/>
    <col min="14929" max="14931" width="5.796875" customWidth="1"/>
    <col min="14932" max="14932" width="11.09765625" customWidth="1"/>
    <col min="14933" max="14940" width="5.796875" customWidth="1"/>
    <col min="14941" max="14941" width="7.09765625" customWidth="1"/>
    <col min="14942" max="14943" width="5.796875" customWidth="1"/>
    <col min="14944" max="14944" width="6" customWidth="1"/>
    <col min="15184" max="15184" width="3.59765625" customWidth="1"/>
    <col min="15185" max="15187" width="5.796875" customWidth="1"/>
    <col min="15188" max="15188" width="11.09765625" customWidth="1"/>
    <col min="15189" max="15196" width="5.796875" customWidth="1"/>
    <col min="15197" max="15197" width="7.09765625" customWidth="1"/>
    <col min="15198" max="15199" width="5.796875" customWidth="1"/>
    <col min="15200" max="15200" width="6" customWidth="1"/>
    <col min="15440" max="15440" width="3.59765625" customWidth="1"/>
    <col min="15441" max="15443" width="5.796875" customWidth="1"/>
    <col min="15444" max="15444" width="11.09765625" customWidth="1"/>
    <col min="15445" max="15452" width="5.796875" customWidth="1"/>
    <col min="15453" max="15453" width="7.09765625" customWidth="1"/>
    <col min="15454" max="15455" width="5.796875" customWidth="1"/>
    <col min="15456" max="15456" width="6" customWidth="1"/>
    <col min="15696" max="15696" width="3.59765625" customWidth="1"/>
    <col min="15697" max="15699" width="5.796875" customWidth="1"/>
    <col min="15700" max="15700" width="11.09765625" customWidth="1"/>
    <col min="15701" max="15708" width="5.796875" customWidth="1"/>
    <col min="15709" max="15709" width="7.09765625" customWidth="1"/>
    <col min="15710" max="15711" width="5.796875" customWidth="1"/>
    <col min="15712" max="15712" width="6" customWidth="1"/>
  </cols>
  <sheetData>
    <row r="1" spans="1:16" ht="47.25" customHeight="1" x14ac:dyDescent="0.25">
      <c r="A1" s="225" t="s">
        <v>262</v>
      </c>
      <c r="B1" s="225"/>
      <c r="C1" s="225"/>
      <c r="D1" s="225"/>
      <c r="E1" s="225"/>
      <c r="F1" s="225"/>
      <c r="G1" s="225"/>
      <c r="H1" s="225"/>
      <c r="I1" s="225"/>
      <c r="J1" s="225"/>
      <c r="K1" s="225"/>
      <c r="L1" s="225"/>
      <c r="M1" s="225"/>
      <c r="N1" s="225"/>
      <c r="O1" s="225"/>
      <c r="P1" s="225"/>
    </row>
    <row r="2" spans="1:16" ht="29.25" customHeight="1" thickBot="1" x14ac:dyDescent="0.3">
      <c r="A2" s="226" t="s">
        <v>256</v>
      </c>
      <c r="B2" s="226"/>
      <c r="C2" s="226"/>
      <c r="D2" s="226"/>
      <c r="E2" s="153"/>
      <c r="F2" s="2"/>
      <c r="G2" s="1"/>
      <c r="H2" s="1"/>
      <c r="I2" s="1"/>
      <c r="J2" s="1"/>
      <c r="K2" s="227"/>
      <c r="L2" s="227"/>
      <c r="M2" s="228"/>
      <c r="N2" s="228"/>
      <c r="O2" s="228"/>
      <c r="P2" s="228"/>
    </row>
    <row r="3" spans="1:16" ht="16.5" customHeight="1" x14ac:dyDescent="0.25">
      <c r="A3" s="229" t="s">
        <v>11</v>
      </c>
      <c r="B3" s="232" t="s">
        <v>3</v>
      </c>
      <c r="C3" s="235" t="s">
        <v>260</v>
      </c>
      <c r="D3" s="235" t="s">
        <v>257</v>
      </c>
      <c r="E3" s="235" t="s">
        <v>259</v>
      </c>
      <c r="F3" s="235" t="s">
        <v>20</v>
      </c>
      <c r="G3" s="238" t="s">
        <v>4</v>
      </c>
      <c r="H3" s="239"/>
      <c r="I3" s="238" t="s">
        <v>0</v>
      </c>
      <c r="J3" s="239"/>
      <c r="K3" s="238" t="s">
        <v>1</v>
      </c>
      <c r="L3" s="239"/>
      <c r="M3" s="235" t="s">
        <v>243</v>
      </c>
      <c r="N3" s="252" t="s">
        <v>242</v>
      </c>
      <c r="O3" s="235" t="s">
        <v>21</v>
      </c>
      <c r="P3" s="255" t="s">
        <v>22</v>
      </c>
    </row>
    <row r="4" spans="1:16" ht="14.4" customHeight="1" x14ac:dyDescent="0.25">
      <c r="A4" s="230"/>
      <c r="B4" s="233"/>
      <c r="C4" s="236"/>
      <c r="D4" s="236"/>
      <c r="E4" s="236"/>
      <c r="F4" s="236"/>
      <c r="G4" s="240" t="s">
        <v>2</v>
      </c>
      <c r="H4" s="242" t="s">
        <v>13</v>
      </c>
      <c r="I4" s="240" t="s">
        <v>2</v>
      </c>
      <c r="J4" s="242" t="s">
        <v>13</v>
      </c>
      <c r="K4" s="240" t="s">
        <v>2</v>
      </c>
      <c r="L4" s="242" t="s">
        <v>13</v>
      </c>
      <c r="M4" s="236"/>
      <c r="N4" s="253"/>
      <c r="O4" s="236"/>
      <c r="P4" s="256"/>
    </row>
    <row r="5" spans="1:16" ht="14.4" customHeight="1" thickBot="1" x14ac:dyDescent="0.3">
      <c r="A5" s="231"/>
      <c r="B5" s="234"/>
      <c r="C5" s="237"/>
      <c r="D5" s="237"/>
      <c r="E5" s="237"/>
      <c r="F5" s="237"/>
      <c r="G5" s="241"/>
      <c r="H5" s="243"/>
      <c r="I5" s="241"/>
      <c r="J5" s="243"/>
      <c r="K5" s="241"/>
      <c r="L5" s="243"/>
      <c r="M5" s="237"/>
      <c r="N5" s="254"/>
      <c r="O5" s="237"/>
      <c r="P5" s="257"/>
    </row>
    <row r="6" spans="1:16" ht="14.4" hidden="1" customHeight="1" thickBot="1" x14ac:dyDescent="0.3">
      <c r="A6" s="189"/>
      <c r="B6" s="190"/>
      <c r="C6" s="104"/>
      <c r="D6" s="86"/>
      <c r="E6"/>
      <c r="F6"/>
      <c r="G6" s="103"/>
      <c r="H6" s="105"/>
      <c r="I6" s="106"/>
      <c r="J6" s="105"/>
      <c r="K6" s="106"/>
      <c r="L6" s="132"/>
      <c r="M6" s="133"/>
      <c r="N6" s="144"/>
      <c r="O6" s="187"/>
      <c r="P6" s="191"/>
    </row>
    <row r="7" spans="1:16" ht="15.6" customHeight="1" x14ac:dyDescent="0.25">
      <c r="A7" s="258" t="s">
        <v>14</v>
      </c>
      <c r="B7" s="260" t="s">
        <v>258</v>
      </c>
      <c r="C7" s="87" t="s">
        <v>263</v>
      </c>
      <c r="D7" s="157" t="s">
        <v>25</v>
      </c>
      <c r="E7" s="92">
        <f t="shared" ref="E7:E47" si="0">IFERROR(VLOOKUP(D7, 기본학점, 2, FALSE), "")</f>
        <v>4</v>
      </c>
      <c r="F7" s="93">
        <v>3</v>
      </c>
      <c r="G7" s="175">
        <v>3</v>
      </c>
      <c r="H7" s="176"/>
      <c r="I7" s="51"/>
      <c r="J7" s="50"/>
      <c r="K7" s="51"/>
      <c r="L7" s="52"/>
      <c r="M7" s="156"/>
      <c r="N7" s="145"/>
      <c r="O7" s="262">
        <f>SUM(F7:F12)</f>
        <v>23</v>
      </c>
      <c r="P7" s="265">
        <v>8</v>
      </c>
    </row>
    <row r="8" spans="1:16" ht="15.6" customHeight="1" x14ac:dyDescent="0.25">
      <c r="A8" s="259"/>
      <c r="B8" s="245"/>
      <c r="C8" s="179" t="s">
        <v>263</v>
      </c>
      <c r="D8" s="159" t="s">
        <v>29</v>
      </c>
      <c r="E8" s="172">
        <f>IFERROR(VLOOKUP(D8, 기본학점, 2, FALSE), "")</f>
        <v>4</v>
      </c>
      <c r="F8" s="140">
        <v>4</v>
      </c>
      <c r="G8" s="113"/>
      <c r="H8" s="119">
        <v>4</v>
      </c>
      <c r="I8" s="54"/>
      <c r="J8" s="53"/>
      <c r="K8" s="54"/>
      <c r="L8" s="55"/>
      <c r="M8" s="158"/>
      <c r="N8" s="145"/>
      <c r="O8" s="263"/>
      <c r="P8" s="251"/>
    </row>
    <row r="9" spans="1:16" ht="15.6" customHeight="1" x14ac:dyDescent="0.25">
      <c r="A9" s="259"/>
      <c r="B9" s="245"/>
      <c r="C9" s="179" t="s">
        <v>264</v>
      </c>
      <c r="D9" s="159" t="s">
        <v>28</v>
      </c>
      <c r="E9" s="172">
        <f>IFERROR(VLOOKUP(D9, 기본학점, 2, FALSE), "")</f>
        <v>4</v>
      </c>
      <c r="F9" s="140">
        <v>4</v>
      </c>
      <c r="G9" s="113"/>
      <c r="H9" s="119"/>
      <c r="I9" s="54">
        <v>4</v>
      </c>
      <c r="J9" s="53"/>
      <c r="K9" s="54"/>
      <c r="L9" s="55"/>
      <c r="M9" s="158"/>
      <c r="N9" s="145"/>
      <c r="O9" s="263"/>
      <c r="P9" s="251"/>
    </row>
    <row r="10" spans="1:16" ht="15.6" customHeight="1" x14ac:dyDescent="0.25">
      <c r="A10" s="259"/>
      <c r="B10" s="245"/>
      <c r="C10" s="179" t="s">
        <v>264</v>
      </c>
      <c r="D10" s="159" t="s">
        <v>266</v>
      </c>
      <c r="E10" s="172">
        <f>IFERROR(VLOOKUP(D10, 기본학점, 2, FALSE), "")</f>
        <v>4</v>
      </c>
      <c r="F10" s="140">
        <v>4</v>
      </c>
      <c r="G10" s="113"/>
      <c r="H10" s="119"/>
      <c r="I10" s="54"/>
      <c r="J10" s="53">
        <v>4</v>
      </c>
      <c r="K10" s="54"/>
      <c r="L10" s="55"/>
      <c r="M10" s="158"/>
      <c r="N10" s="145"/>
      <c r="O10" s="263"/>
      <c r="P10" s="251"/>
    </row>
    <row r="11" spans="1:16" ht="15.6" customHeight="1" x14ac:dyDescent="0.25">
      <c r="A11" s="259"/>
      <c r="B11" s="245"/>
      <c r="C11" s="134" t="s">
        <v>264</v>
      </c>
      <c r="D11" s="159" t="s">
        <v>267</v>
      </c>
      <c r="E11" s="172">
        <f t="shared" si="0"/>
        <v>4</v>
      </c>
      <c r="F11" s="140">
        <v>4</v>
      </c>
      <c r="G11" s="113"/>
      <c r="H11" s="119"/>
      <c r="I11" s="54"/>
      <c r="J11" s="53"/>
      <c r="K11" s="54">
        <v>4</v>
      </c>
      <c r="L11" s="55"/>
      <c r="M11" s="158"/>
      <c r="N11" s="145"/>
      <c r="O11" s="263"/>
      <c r="P11" s="251"/>
    </row>
    <row r="12" spans="1:16" ht="15.6" customHeight="1" x14ac:dyDescent="0.25">
      <c r="A12" s="259"/>
      <c r="B12" s="261"/>
      <c r="C12" s="85" t="s">
        <v>265</v>
      </c>
      <c r="D12" s="159" t="s">
        <v>31</v>
      </c>
      <c r="E12" s="136">
        <f t="shared" si="0"/>
        <v>4</v>
      </c>
      <c r="F12" s="99">
        <v>4</v>
      </c>
      <c r="G12" s="111"/>
      <c r="H12" s="122"/>
      <c r="I12" s="62"/>
      <c r="J12" s="63"/>
      <c r="K12" s="62"/>
      <c r="L12" s="52">
        <v>4</v>
      </c>
      <c r="M12" s="156"/>
      <c r="N12" s="146"/>
      <c r="O12" s="264"/>
      <c r="P12" s="249"/>
    </row>
    <row r="13" spans="1:16" ht="15.6" customHeight="1" x14ac:dyDescent="0.25">
      <c r="A13" s="259"/>
      <c r="B13" s="244" t="s">
        <v>7</v>
      </c>
      <c r="C13" s="56" t="s">
        <v>263</v>
      </c>
      <c r="D13" s="161" t="s">
        <v>26</v>
      </c>
      <c r="E13" s="180">
        <f t="shared" si="0"/>
        <v>4</v>
      </c>
      <c r="F13" s="135">
        <v>4</v>
      </c>
      <c r="G13" s="95">
        <v>4</v>
      </c>
      <c r="H13" s="120"/>
      <c r="I13" s="58"/>
      <c r="J13" s="57"/>
      <c r="K13" s="95"/>
      <c r="L13" s="120"/>
      <c r="M13" s="162"/>
      <c r="N13" s="147"/>
      <c r="O13" s="250">
        <f>SUM(F13:F18)</f>
        <v>23</v>
      </c>
      <c r="P13" s="248">
        <v>8</v>
      </c>
    </row>
    <row r="14" spans="1:16" ht="15.6" customHeight="1" x14ac:dyDescent="0.25">
      <c r="A14" s="259"/>
      <c r="B14" s="245"/>
      <c r="C14" s="134" t="s">
        <v>263</v>
      </c>
      <c r="D14" s="159" t="s">
        <v>32</v>
      </c>
      <c r="E14" s="172">
        <f t="shared" si="0"/>
        <v>4</v>
      </c>
      <c r="F14" s="152">
        <v>4</v>
      </c>
      <c r="G14" s="98"/>
      <c r="H14" s="119">
        <v>4</v>
      </c>
      <c r="I14" s="54"/>
      <c r="J14" s="53"/>
      <c r="K14" s="98"/>
      <c r="L14" s="119"/>
      <c r="M14" s="158"/>
      <c r="N14" s="145"/>
      <c r="O14" s="250"/>
      <c r="P14" s="251"/>
    </row>
    <row r="15" spans="1:16" ht="15.6" customHeight="1" x14ac:dyDescent="0.25">
      <c r="A15" s="259"/>
      <c r="B15" s="245"/>
      <c r="C15" s="134" t="s">
        <v>264</v>
      </c>
      <c r="D15" s="159" t="s">
        <v>268</v>
      </c>
      <c r="E15" s="172">
        <f>IFERROR(VLOOKUP(D15, 기본학점, 2, FALSE), "")</f>
        <v>4</v>
      </c>
      <c r="F15" s="140">
        <v>4</v>
      </c>
      <c r="G15" s="98"/>
      <c r="H15" s="119"/>
      <c r="I15" s="54">
        <v>4</v>
      </c>
      <c r="J15" s="53"/>
      <c r="K15" s="98"/>
      <c r="L15" s="119"/>
      <c r="M15" s="158"/>
      <c r="N15" s="145"/>
      <c r="O15" s="250"/>
      <c r="P15" s="251"/>
    </row>
    <row r="16" spans="1:16" ht="15.6" customHeight="1" x14ac:dyDescent="0.25">
      <c r="A16" s="259"/>
      <c r="B16" s="245"/>
      <c r="C16" s="134" t="s">
        <v>264</v>
      </c>
      <c r="D16" s="159" t="s">
        <v>269</v>
      </c>
      <c r="E16" s="172">
        <f>IFERROR(VLOOKUP(D16, 기본학점, 2, FALSE), "")</f>
        <v>4</v>
      </c>
      <c r="F16" s="140">
        <v>4</v>
      </c>
      <c r="G16" s="98"/>
      <c r="H16" s="119"/>
      <c r="I16" s="54"/>
      <c r="J16" s="53">
        <v>4</v>
      </c>
      <c r="K16" s="98"/>
      <c r="L16" s="119"/>
      <c r="M16" s="158"/>
      <c r="N16" s="145"/>
      <c r="O16" s="250"/>
      <c r="P16" s="251"/>
    </row>
    <row r="17" spans="1:16" ht="15.6" customHeight="1" x14ac:dyDescent="0.25">
      <c r="A17" s="259"/>
      <c r="B17" s="245"/>
      <c r="C17" s="134" t="s">
        <v>264</v>
      </c>
      <c r="D17" s="159" t="s">
        <v>33</v>
      </c>
      <c r="E17" s="172">
        <f t="shared" si="0"/>
        <v>4</v>
      </c>
      <c r="F17" s="140">
        <v>4</v>
      </c>
      <c r="G17" s="98"/>
      <c r="H17" s="119"/>
      <c r="I17" s="54"/>
      <c r="J17" s="53"/>
      <c r="K17" s="54">
        <v>4</v>
      </c>
      <c r="L17" s="53"/>
      <c r="M17" s="158"/>
      <c r="N17" s="145"/>
      <c r="O17" s="250"/>
      <c r="P17" s="251"/>
    </row>
    <row r="18" spans="1:16" ht="15.6" customHeight="1" x14ac:dyDescent="0.25">
      <c r="A18" s="259"/>
      <c r="B18" s="261"/>
      <c r="C18" s="85" t="s">
        <v>265</v>
      </c>
      <c r="D18" s="163" t="s">
        <v>59</v>
      </c>
      <c r="E18" s="136">
        <f t="shared" si="0"/>
        <v>4</v>
      </c>
      <c r="F18" s="137">
        <v>3</v>
      </c>
      <c r="G18" s="97"/>
      <c r="H18" s="121"/>
      <c r="I18" s="61"/>
      <c r="J18" s="60"/>
      <c r="K18" s="61"/>
      <c r="L18" s="60">
        <v>3</v>
      </c>
      <c r="M18" s="160"/>
      <c r="N18" s="85"/>
      <c r="O18" s="247"/>
      <c r="P18" s="251"/>
    </row>
    <row r="19" spans="1:16" ht="15.6" customHeight="1" x14ac:dyDescent="0.25">
      <c r="A19" s="259"/>
      <c r="B19" s="244" t="s">
        <v>16</v>
      </c>
      <c r="C19" s="56" t="s">
        <v>263</v>
      </c>
      <c r="D19" s="161" t="s">
        <v>27</v>
      </c>
      <c r="E19" s="180">
        <f t="shared" si="0"/>
        <v>4</v>
      </c>
      <c r="F19" s="138">
        <v>4</v>
      </c>
      <c r="G19" s="112">
        <v>4</v>
      </c>
      <c r="H19" s="120"/>
      <c r="I19" s="58"/>
      <c r="J19" s="57"/>
      <c r="K19" s="58"/>
      <c r="L19" s="57"/>
      <c r="M19" s="162"/>
      <c r="N19" s="147"/>
      <c r="O19" s="246">
        <f>SUM(F19:F24)</f>
        <v>23</v>
      </c>
      <c r="P19" s="248">
        <v>8</v>
      </c>
    </row>
    <row r="20" spans="1:16" ht="15.6" customHeight="1" x14ac:dyDescent="0.25">
      <c r="A20" s="259"/>
      <c r="B20" s="245"/>
      <c r="C20" s="134" t="s">
        <v>263</v>
      </c>
      <c r="D20" s="159" t="s">
        <v>38</v>
      </c>
      <c r="E20" s="172">
        <f>IFERROR(VLOOKUP(D20, 기본학점, 2, FALSE), "")</f>
        <v>4</v>
      </c>
      <c r="F20" s="140">
        <v>3</v>
      </c>
      <c r="G20" s="113"/>
      <c r="H20" s="119">
        <v>3</v>
      </c>
      <c r="I20" s="54"/>
      <c r="J20" s="53"/>
      <c r="K20" s="54"/>
      <c r="L20" s="53"/>
      <c r="M20" s="158"/>
      <c r="N20" s="145"/>
      <c r="O20" s="250"/>
      <c r="P20" s="251"/>
    </row>
    <row r="21" spans="1:16" ht="15.6" customHeight="1" x14ac:dyDescent="0.25">
      <c r="A21" s="259"/>
      <c r="B21" s="245"/>
      <c r="C21" s="134" t="s">
        <v>264</v>
      </c>
      <c r="D21" s="159" t="s">
        <v>271</v>
      </c>
      <c r="E21" s="172">
        <f>IFERROR(VLOOKUP(D21, 기본학점, 2, FALSE), "")</f>
        <v>4</v>
      </c>
      <c r="F21" s="140">
        <v>4</v>
      </c>
      <c r="G21" s="113"/>
      <c r="H21" s="119"/>
      <c r="I21" s="54">
        <v>4</v>
      </c>
      <c r="J21" s="53"/>
      <c r="K21" s="54"/>
      <c r="L21" s="53"/>
      <c r="M21" s="158"/>
      <c r="N21" s="145"/>
      <c r="O21" s="250"/>
      <c r="P21" s="251"/>
    </row>
    <row r="22" spans="1:16" ht="15.6" customHeight="1" x14ac:dyDescent="0.25">
      <c r="A22" s="259"/>
      <c r="B22" s="245"/>
      <c r="C22" s="134" t="s">
        <v>264</v>
      </c>
      <c r="D22" s="159" t="s">
        <v>272</v>
      </c>
      <c r="E22" s="172">
        <f>IFERROR(VLOOKUP(D22, 기본학점, 2, FALSE), "")</f>
        <v>4</v>
      </c>
      <c r="F22" s="140">
        <v>4</v>
      </c>
      <c r="G22" s="113"/>
      <c r="H22" s="119"/>
      <c r="I22" s="54"/>
      <c r="J22" s="53">
        <v>4</v>
      </c>
      <c r="K22" s="54"/>
      <c r="L22" s="53"/>
      <c r="M22" s="158"/>
      <c r="N22" s="145"/>
      <c r="O22" s="250"/>
      <c r="P22" s="251"/>
    </row>
    <row r="23" spans="1:16" ht="15.6" customHeight="1" x14ac:dyDescent="0.25">
      <c r="A23" s="259"/>
      <c r="B23" s="245"/>
      <c r="C23" s="134" t="s">
        <v>264</v>
      </c>
      <c r="D23" s="159" t="s">
        <v>39</v>
      </c>
      <c r="E23" s="172">
        <f t="shared" si="0"/>
        <v>4</v>
      </c>
      <c r="F23" s="140">
        <v>4</v>
      </c>
      <c r="G23" s="113"/>
      <c r="H23" s="119"/>
      <c r="I23" s="54"/>
      <c r="J23" s="53"/>
      <c r="K23" s="54">
        <v>4</v>
      </c>
      <c r="L23" s="53"/>
      <c r="M23" s="158"/>
      <c r="N23" s="145"/>
      <c r="O23" s="250"/>
      <c r="P23" s="251"/>
    </row>
    <row r="24" spans="1:16" ht="15.6" customHeight="1" x14ac:dyDescent="0.25">
      <c r="A24" s="259"/>
      <c r="B24" s="261"/>
      <c r="C24" s="85" t="s">
        <v>270</v>
      </c>
      <c r="D24" s="160" t="s">
        <v>273</v>
      </c>
      <c r="E24" s="136">
        <f t="shared" si="0"/>
        <v>4</v>
      </c>
      <c r="F24" s="99">
        <v>4</v>
      </c>
      <c r="G24" s="170"/>
      <c r="H24" s="171"/>
      <c r="I24" s="64"/>
      <c r="J24" s="65"/>
      <c r="K24" s="64"/>
      <c r="L24" s="65">
        <v>4</v>
      </c>
      <c r="M24" s="160"/>
      <c r="N24" s="85"/>
      <c r="O24" s="250"/>
      <c r="P24" s="249"/>
    </row>
    <row r="25" spans="1:16" ht="15.6" customHeight="1" x14ac:dyDescent="0.25">
      <c r="A25" s="259"/>
      <c r="B25" s="244" t="s">
        <v>183</v>
      </c>
      <c r="C25" s="90" t="s">
        <v>263</v>
      </c>
      <c r="D25" s="161" t="s">
        <v>274</v>
      </c>
      <c r="E25" s="180">
        <f t="shared" si="0"/>
        <v>3</v>
      </c>
      <c r="F25" s="138">
        <v>3</v>
      </c>
      <c r="G25" s="112">
        <v>3</v>
      </c>
      <c r="H25" s="120"/>
      <c r="I25" s="58"/>
      <c r="J25" s="57"/>
      <c r="K25" s="58"/>
      <c r="L25" s="59"/>
      <c r="M25" s="162"/>
      <c r="N25" s="147"/>
      <c r="O25" s="246">
        <f>SUM(F25:F26)</f>
        <v>6</v>
      </c>
      <c r="P25" s="248">
        <v>6</v>
      </c>
    </row>
    <row r="26" spans="1:16" ht="15.6" customHeight="1" x14ac:dyDescent="0.25">
      <c r="A26" s="259"/>
      <c r="B26" s="245"/>
      <c r="C26" s="89" t="s">
        <v>263</v>
      </c>
      <c r="D26" s="163" t="s">
        <v>275</v>
      </c>
      <c r="E26" s="151">
        <f t="shared" si="0"/>
        <v>3</v>
      </c>
      <c r="F26" s="137">
        <v>3</v>
      </c>
      <c r="G26" s="114"/>
      <c r="H26" s="121">
        <v>3</v>
      </c>
      <c r="I26" s="61"/>
      <c r="J26" s="60"/>
      <c r="K26" s="61"/>
      <c r="L26" s="60"/>
      <c r="M26" s="163"/>
      <c r="N26" s="89"/>
      <c r="O26" s="247"/>
      <c r="P26" s="249"/>
    </row>
    <row r="27" spans="1:16" ht="15.6" customHeight="1" x14ac:dyDescent="0.25">
      <c r="A27" s="259"/>
      <c r="B27" s="245"/>
      <c r="C27" s="56" t="s">
        <v>263</v>
      </c>
      <c r="D27" s="161" t="s">
        <v>276</v>
      </c>
      <c r="E27" s="180">
        <f t="shared" si="0"/>
        <v>4</v>
      </c>
      <c r="F27" s="138">
        <v>4</v>
      </c>
      <c r="G27" s="112">
        <v>4</v>
      </c>
      <c r="H27" s="120"/>
      <c r="I27" s="58"/>
      <c r="J27" s="57"/>
      <c r="K27" s="58"/>
      <c r="L27" s="59"/>
      <c r="M27" s="162"/>
      <c r="N27" s="56"/>
      <c r="O27" s="246">
        <f>SUM(F27:F28)</f>
        <v>8</v>
      </c>
      <c r="P27" s="248">
        <v>8</v>
      </c>
    </row>
    <row r="28" spans="1:16" ht="15.6" customHeight="1" x14ac:dyDescent="0.25">
      <c r="A28" s="259"/>
      <c r="B28" s="245"/>
      <c r="C28" s="134" t="s">
        <v>263</v>
      </c>
      <c r="D28" s="159" t="s">
        <v>277</v>
      </c>
      <c r="E28" s="172">
        <f>IFERROR(VLOOKUP(D28, 기본학점, 2, FALSE), "")</f>
        <v>4</v>
      </c>
      <c r="F28" s="140">
        <v>4</v>
      </c>
      <c r="G28" s="113"/>
      <c r="H28" s="119">
        <v>4</v>
      </c>
      <c r="I28" s="54"/>
      <c r="J28" s="53"/>
      <c r="K28" s="54"/>
      <c r="L28" s="55"/>
      <c r="M28" s="158"/>
      <c r="N28" s="134"/>
      <c r="O28" s="250"/>
      <c r="P28" s="251"/>
    </row>
    <row r="29" spans="1:16" ht="15.6" customHeight="1" x14ac:dyDescent="0.25">
      <c r="A29" s="259"/>
      <c r="B29" s="244" t="s">
        <v>8</v>
      </c>
      <c r="C29" s="56" t="s">
        <v>263</v>
      </c>
      <c r="D29" s="161" t="s">
        <v>278</v>
      </c>
      <c r="E29" s="180">
        <f t="shared" si="0"/>
        <v>4</v>
      </c>
      <c r="F29" s="138">
        <v>4</v>
      </c>
      <c r="G29" s="112">
        <v>4</v>
      </c>
      <c r="H29" s="120"/>
      <c r="I29" s="58"/>
      <c r="J29" s="57"/>
      <c r="K29" s="66"/>
      <c r="L29" s="67"/>
      <c r="M29" s="162"/>
      <c r="N29" s="56"/>
      <c r="O29" s="246">
        <f>SUM(F29:F32)</f>
        <v>10</v>
      </c>
      <c r="P29" s="248">
        <v>10</v>
      </c>
    </row>
    <row r="30" spans="1:16" ht="15.6" customHeight="1" x14ac:dyDescent="0.25">
      <c r="A30" s="259"/>
      <c r="B30" s="245"/>
      <c r="C30" s="88" t="s">
        <v>263</v>
      </c>
      <c r="D30" s="159" t="s">
        <v>279</v>
      </c>
      <c r="E30" s="172">
        <f t="shared" si="0"/>
        <v>4</v>
      </c>
      <c r="F30" s="140">
        <v>4</v>
      </c>
      <c r="G30" s="113"/>
      <c r="H30" s="119">
        <v>4</v>
      </c>
      <c r="I30" s="54"/>
      <c r="J30" s="53"/>
      <c r="K30" s="68"/>
      <c r="L30" s="69"/>
      <c r="M30" s="158"/>
      <c r="N30" s="145"/>
      <c r="O30" s="250"/>
      <c r="P30" s="251"/>
    </row>
    <row r="31" spans="1:16" ht="15.6" customHeight="1" x14ac:dyDescent="0.25">
      <c r="A31" s="259"/>
      <c r="B31" s="245"/>
      <c r="C31" s="134" t="s">
        <v>263</v>
      </c>
      <c r="D31" s="159" t="s">
        <v>280</v>
      </c>
      <c r="E31" s="172">
        <f t="shared" si="0"/>
        <v>1</v>
      </c>
      <c r="F31" s="140">
        <v>1</v>
      </c>
      <c r="G31" s="113">
        <v>1</v>
      </c>
      <c r="H31" s="119"/>
      <c r="I31" s="54"/>
      <c r="J31" s="53"/>
      <c r="K31" s="68"/>
      <c r="L31" s="69"/>
      <c r="M31" s="158"/>
      <c r="N31" s="145"/>
      <c r="O31" s="250"/>
      <c r="P31" s="251"/>
    </row>
    <row r="32" spans="1:16" ht="15.6" customHeight="1" x14ac:dyDescent="0.25">
      <c r="A32" s="259"/>
      <c r="B32" s="245"/>
      <c r="C32" s="134" t="s">
        <v>263</v>
      </c>
      <c r="D32" s="159" t="s">
        <v>281</v>
      </c>
      <c r="E32" s="172">
        <f>IFERROR(VLOOKUP(D32, 기본학점, 2, FALSE), "")</f>
        <v>1</v>
      </c>
      <c r="F32" s="140">
        <v>1</v>
      </c>
      <c r="G32" s="113"/>
      <c r="H32" s="119">
        <v>1</v>
      </c>
      <c r="I32" s="54"/>
      <c r="J32" s="53"/>
      <c r="K32" s="68"/>
      <c r="L32" s="69"/>
      <c r="M32" s="158"/>
      <c r="N32" s="145"/>
      <c r="O32" s="250"/>
      <c r="P32" s="251"/>
    </row>
    <row r="33" spans="1:16" ht="15.6" customHeight="1" x14ac:dyDescent="0.25">
      <c r="A33" s="259"/>
      <c r="B33" s="244" t="s">
        <v>9</v>
      </c>
      <c r="C33" s="56" t="s">
        <v>270</v>
      </c>
      <c r="D33" s="161" t="s">
        <v>282</v>
      </c>
      <c r="E33" s="180">
        <f t="shared" si="0"/>
        <v>2</v>
      </c>
      <c r="F33" s="135">
        <v>1</v>
      </c>
      <c r="G33" s="95">
        <v>1</v>
      </c>
      <c r="H33" s="120"/>
      <c r="I33" s="58"/>
      <c r="J33" s="57"/>
      <c r="K33" s="58"/>
      <c r="L33" s="59"/>
      <c r="M33" s="162"/>
      <c r="N33" s="56"/>
      <c r="O33" s="246">
        <f>SUM(F33:F38)</f>
        <v>10</v>
      </c>
      <c r="P33" s="248">
        <v>10</v>
      </c>
    </row>
    <row r="34" spans="1:16" ht="15.6" customHeight="1" x14ac:dyDescent="0.25">
      <c r="A34" s="259"/>
      <c r="B34" s="245"/>
      <c r="C34" s="134" t="s">
        <v>270</v>
      </c>
      <c r="D34" s="159" t="s">
        <v>283</v>
      </c>
      <c r="E34" s="172">
        <f>IFERROR(VLOOKUP(D34, 기본학점, 2, FALSE), "")</f>
        <v>2</v>
      </c>
      <c r="F34" s="140">
        <v>1</v>
      </c>
      <c r="G34" s="98"/>
      <c r="H34" s="119">
        <v>1</v>
      </c>
      <c r="I34" s="54"/>
      <c r="J34" s="53"/>
      <c r="K34" s="54"/>
      <c r="L34" s="55"/>
      <c r="M34" s="158"/>
      <c r="N34" s="145"/>
      <c r="O34" s="250"/>
      <c r="P34" s="251"/>
    </row>
    <row r="35" spans="1:16" ht="15.6" customHeight="1" x14ac:dyDescent="0.25">
      <c r="A35" s="259"/>
      <c r="B35" s="245"/>
      <c r="C35" s="134" t="s">
        <v>264</v>
      </c>
      <c r="D35" s="159" t="s">
        <v>284</v>
      </c>
      <c r="E35" s="172">
        <f t="shared" si="0"/>
        <v>3</v>
      </c>
      <c r="F35" s="140">
        <v>2</v>
      </c>
      <c r="G35" s="98"/>
      <c r="H35" s="119"/>
      <c r="I35" s="54">
        <v>2</v>
      </c>
      <c r="J35" s="53"/>
      <c r="K35" s="54"/>
      <c r="L35" s="55"/>
      <c r="M35" s="158"/>
      <c r="N35" s="145"/>
      <c r="O35" s="250"/>
      <c r="P35" s="251"/>
    </row>
    <row r="36" spans="1:16" ht="15.6" customHeight="1" x14ac:dyDescent="0.25">
      <c r="A36" s="259"/>
      <c r="B36" s="245"/>
      <c r="C36" s="134" t="s">
        <v>264</v>
      </c>
      <c r="D36" s="159" t="s">
        <v>285</v>
      </c>
      <c r="E36" s="172">
        <f>IFERROR(VLOOKUP(D36, 기본학점, 2, FALSE), "")</f>
        <v>3</v>
      </c>
      <c r="F36" s="140">
        <v>2</v>
      </c>
      <c r="G36" s="98"/>
      <c r="H36" s="119"/>
      <c r="I36" s="54"/>
      <c r="J36" s="53">
        <v>2</v>
      </c>
      <c r="K36" s="54"/>
      <c r="L36" s="55"/>
      <c r="M36" s="158"/>
      <c r="N36" s="145"/>
      <c r="O36" s="250"/>
      <c r="P36" s="251"/>
    </row>
    <row r="37" spans="1:16" ht="15.6" customHeight="1" x14ac:dyDescent="0.25">
      <c r="A37" s="259"/>
      <c r="B37" s="245"/>
      <c r="C37" s="134" t="s">
        <v>265</v>
      </c>
      <c r="D37" s="159" t="s">
        <v>167</v>
      </c>
      <c r="E37" s="172">
        <f>IFERROR(VLOOKUP(D37, 기본학점, 2, FALSE), "")</f>
        <v>3</v>
      </c>
      <c r="F37" s="140">
        <v>2</v>
      </c>
      <c r="G37" s="98"/>
      <c r="H37" s="119"/>
      <c r="I37" s="54"/>
      <c r="J37" s="53"/>
      <c r="K37" s="54">
        <v>2</v>
      </c>
      <c r="L37" s="55"/>
      <c r="M37" s="158"/>
      <c r="N37" s="145"/>
      <c r="O37" s="250"/>
      <c r="P37" s="251"/>
    </row>
    <row r="38" spans="1:16" ht="15.6" customHeight="1" x14ac:dyDescent="0.25">
      <c r="A38" s="259"/>
      <c r="B38" s="245"/>
      <c r="C38" s="134" t="s">
        <v>265</v>
      </c>
      <c r="D38" s="159" t="s">
        <v>168</v>
      </c>
      <c r="E38" s="172">
        <f t="shared" si="0"/>
        <v>3</v>
      </c>
      <c r="F38" s="140">
        <v>2</v>
      </c>
      <c r="G38" s="113"/>
      <c r="H38" s="119"/>
      <c r="I38" s="54"/>
      <c r="J38" s="53"/>
      <c r="K38" s="54"/>
      <c r="L38" s="55">
        <v>2</v>
      </c>
      <c r="M38" s="158"/>
      <c r="N38" s="145"/>
      <c r="O38" s="250"/>
      <c r="P38" s="251"/>
    </row>
    <row r="39" spans="1:16" ht="15.6" customHeight="1" x14ac:dyDescent="0.25">
      <c r="A39" s="259"/>
      <c r="B39" s="244" t="s">
        <v>10</v>
      </c>
      <c r="C39" s="56" t="s">
        <v>264</v>
      </c>
      <c r="D39" s="161" t="s">
        <v>286</v>
      </c>
      <c r="E39" s="180">
        <f t="shared" si="0"/>
        <v>3</v>
      </c>
      <c r="F39" s="138">
        <v>2</v>
      </c>
      <c r="G39" s="95"/>
      <c r="H39" s="120">
        <v>2</v>
      </c>
      <c r="I39" s="58"/>
      <c r="J39" s="57"/>
      <c r="K39" s="58"/>
      <c r="L39" s="59"/>
      <c r="M39" s="162"/>
      <c r="N39" s="56"/>
      <c r="O39" s="266">
        <f>SUM(F39:F43)</f>
        <v>10</v>
      </c>
      <c r="P39" s="248">
        <v>10</v>
      </c>
    </row>
    <row r="40" spans="1:16" ht="15.6" customHeight="1" x14ac:dyDescent="0.25">
      <c r="A40" s="259"/>
      <c r="B40" s="245"/>
      <c r="C40" s="134" t="s">
        <v>264</v>
      </c>
      <c r="D40" s="159" t="s">
        <v>287</v>
      </c>
      <c r="E40" s="172">
        <f t="shared" si="0"/>
        <v>3</v>
      </c>
      <c r="F40" s="140">
        <v>2</v>
      </c>
      <c r="G40" s="98">
        <v>2</v>
      </c>
      <c r="H40" s="119"/>
      <c r="I40" s="54"/>
      <c r="J40" s="53"/>
      <c r="K40" s="54"/>
      <c r="L40" s="55"/>
      <c r="M40" s="158"/>
      <c r="N40" s="145"/>
      <c r="O40" s="263"/>
      <c r="P40" s="251"/>
    </row>
    <row r="41" spans="1:16" ht="15.6" customHeight="1" x14ac:dyDescent="0.25">
      <c r="A41" s="259"/>
      <c r="B41" s="245"/>
      <c r="C41" s="134" t="s">
        <v>270</v>
      </c>
      <c r="D41" s="159" t="s">
        <v>68</v>
      </c>
      <c r="E41" s="172">
        <f>IFERROR(VLOOKUP(D41, 기본학점, 2, FALSE), "")</f>
        <v>3</v>
      </c>
      <c r="F41" s="140">
        <v>2</v>
      </c>
      <c r="G41" s="98"/>
      <c r="H41" s="119"/>
      <c r="I41" s="54">
        <v>2</v>
      </c>
      <c r="J41" s="53"/>
      <c r="K41" s="54"/>
      <c r="L41" s="55"/>
      <c r="M41" s="158"/>
      <c r="N41" s="145"/>
      <c r="O41" s="263"/>
      <c r="P41" s="251"/>
    </row>
    <row r="42" spans="1:16" ht="15.6" customHeight="1" x14ac:dyDescent="0.25">
      <c r="A42" s="259"/>
      <c r="B42" s="245"/>
      <c r="C42" s="134" t="s">
        <v>265</v>
      </c>
      <c r="D42" s="159" t="s">
        <v>45</v>
      </c>
      <c r="E42" s="172">
        <f>IFERROR(VLOOKUP(D42, 기본학점, 2, FALSE), "")</f>
        <v>3</v>
      </c>
      <c r="F42" s="140">
        <v>2</v>
      </c>
      <c r="G42" s="98"/>
      <c r="H42" s="119"/>
      <c r="I42" s="54"/>
      <c r="J42" s="53">
        <v>2</v>
      </c>
      <c r="K42" s="54"/>
      <c r="L42" s="55"/>
      <c r="M42" s="158"/>
      <c r="N42" s="145"/>
      <c r="O42" s="263"/>
      <c r="P42" s="251"/>
    </row>
    <row r="43" spans="1:16" ht="15.6" customHeight="1" x14ac:dyDescent="0.25">
      <c r="A43" s="259"/>
      <c r="B43" s="245"/>
      <c r="C43" s="134" t="s">
        <v>265</v>
      </c>
      <c r="D43" s="159" t="s">
        <v>69</v>
      </c>
      <c r="E43" s="172">
        <f t="shared" si="0"/>
        <v>3</v>
      </c>
      <c r="F43" s="140">
        <v>2</v>
      </c>
      <c r="G43" s="98"/>
      <c r="H43" s="119"/>
      <c r="I43" s="54"/>
      <c r="J43" s="53"/>
      <c r="K43" s="54"/>
      <c r="L43" s="55">
        <v>2</v>
      </c>
      <c r="M43" s="158"/>
      <c r="N43" s="145"/>
      <c r="O43" s="264"/>
      <c r="P43" s="251"/>
    </row>
    <row r="44" spans="1:16" ht="15.6" customHeight="1" x14ac:dyDescent="0.25">
      <c r="A44" s="259"/>
      <c r="B44" s="184" t="s">
        <v>186</v>
      </c>
      <c r="C44" s="56" t="s">
        <v>264</v>
      </c>
      <c r="D44" s="161" t="s">
        <v>46</v>
      </c>
      <c r="E44" s="180">
        <f t="shared" si="0"/>
        <v>4</v>
      </c>
      <c r="F44" s="138">
        <v>3</v>
      </c>
      <c r="G44" s="112">
        <v>3</v>
      </c>
      <c r="H44" s="120" t="s">
        <v>288</v>
      </c>
      <c r="I44" s="58"/>
      <c r="J44" s="57"/>
      <c r="K44" s="58"/>
      <c r="L44" s="59"/>
      <c r="M44" s="162"/>
      <c r="N44" s="56"/>
      <c r="O44" s="266">
        <f>SUM(F44:F45)</f>
        <v>6</v>
      </c>
      <c r="P44" s="248">
        <v>16</v>
      </c>
    </row>
    <row r="45" spans="1:16" ht="15.6" customHeight="1" thickBot="1" x14ac:dyDescent="0.3">
      <c r="A45" s="259"/>
      <c r="B45" s="184" t="s">
        <v>241</v>
      </c>
      <c r="C45" s="56" t="s">
        <v>264</v>
      </c>
      <c r="D45" s="161" t="s">
        <v>47</v>
      </c>
      <c r="E45" s="180">
        <f t="shared" si="0"/>
        <v>4</v>
      </c>
      <c r="F45" s="138">
        <v>3</v>
      </c>
      <c r="G45" s="95" t="s">
        <v>288</v>
      </c>
      <c r="H45" s="120">
        <v>3</v>
      </c>
      <c r="I45" s="58"/>
      <c r="J45" s="57"/>
      <c r="K45" s="58"/>
      <c r="L45" s="59"/>
      <c r="M45" s="162"/>
      <c r="N45" s="56"/>
      <c r="O45" s="270"/>
      <c r="P45" s="251"/>
    </row>
    <row r="46" spans="1:16" ht="15.6" customHeight="1" x14ac:dyDescent="0.25">
      <c r="A46" s="258" t="s">
        <v>18</v>
      </c>
      <c r="B46" s="260" t="s">
        <v>240</v>
      </c>
      <c r="C46" s="30" t="s">
        <v>264</v>
      </c>
      <c r="D46" s="157" t="s">
        <v>291</v>
      </c>
      <c r="E46" s="181">
        <f t="shared" si="0"/>
        <v>4</v>
      </c>
      <c r="F46" s="141">
        <v>3</v>
      </c>
      <c r="G46" s="182"/>
      <c r="H46" s="127"/>
      <c r="I46" s="267" t="s">
        <v>297</v>
      </c>
      <c r="J46" s="207"/>
      <c r="K46" s="6"/>
      <c r="L46" s="31"/>
      <c r="M46" s="168"/>
      <c r="N46" s="149"/>
      <c r="O46" s="262">
        <v>26</v>
      </c>
      <c r="P46" s="272"/>
    </row>
    <row r="47" spans="1:16" ht="15.6" customHeight="1" x14ac:dyDescent="0.25">
      <c r="A47" s="259"/>
      <c r="B47" s="245"/>
      <c r="C47" s="7" t="s">
        <v>264</v>
      </c>
      <c r="D47" s="159" t="s">
        <v>292</v>
      </c>
      <c r="E47" s="172">
        <f t="shared" si="0"/>
        <v>4</v>
      </c>
      <c r="F47" s="152">
        <v>3</v>
      </c>
      <c r="G47" s="42"/>
      <c r="H47" s="124"/>
      <c r="I47" s="268"/>
      <c r="J47" s="208"/>
      <c r="K47" s="10"/>
      <c r="L47" s="11"/>
      <c r="M47" s="166"/>
      <c r="N47" s="145"/>
      <c r="O47" s="263"/>
      <c r="P47" s="273"/>
    </row>
    <row r="48" spans="1:16" ht="15.6" customHeight="1" x14ac:dyDescent="0.25">
      <c r="A48" s="259"/>
      <c r="B48" s="245"/>
      <c r="C48" s="7" t="s">
        <v>264</v>
      </c>
      <c r="D48" s="159" t="s">
        <v>293</v>
      </c>
      <c r="E48" s="152">
        <f>IFERROR(VLOOKUP(D48, 기본학점, 2, FALSE), "")</f>
        <v>4</v>
      </c>
      <c r="F48" s="152">
        <v>3</v>
      </c>
      <c r="G48" s="42"/>
      <c r="H48" s="124"/>
      <c r="I48" s="268"/>
      <c r="J48" s="208"/>
      <c r="K48" s="10"/>
      <c r="L48" s="11"/>
      <c r="M48" s="166"/>
      <c r="N48" s="145"/>
      <c r="O48" s="263"/>
      <c r="P48" s="273"/>
    </row>
    <row r="49" spans="1:16" ht="15.6" customHeight="1" x14ac:dyDescent="0.25">
      <c r="A49" s="259"/>
      <c r="B49" s="245"/>
      <c r="C49" s="7" t="s">
        <v>264</v>
      </c>
      <c r="D49" s="159" t="s">
        <v>294</v>
      </c>
      <c r="E49" s="136">
        <f>IFERROR(VLOOKUP(D49, 기본학점, 2, FALSE), "")</f>
        <v>4</v>
      </c>
      <c r="F49" s="136">
        <v>3</v>
      </c>
      <c r="G49" s="42"/>
      <c r="H49" s="124"/>
      <c r="I49" s="269"/>
      <c r="J49" s="208"/>
      <c r="K49" s="10"/>
      <c r="L49" s="11"/>
      <c r="M49" s="166"/>
      <c r="N49" s="145"/>
      <c r="O49" s="263"/>
      <c r="P49" s="273"/>
    </row>
    <row r="50" spans="1:16" ht="15.6" customHeight="1" x14ac:dyDescent="0.25">
      <c r="A50" s="259"/>
      <c r="B50" s="244" t="s">
        <v>241</v>
      </c>
      <c r="C50" s="16" t="s">
        <v>264</v>
      </c>
      <c r="D50" s="161" t="s">
        <v>295</v>
      </c>
      <c r="E50" s="92">
        <f>IFERROR(VLOOKUP(D50, 기본학점, 2, FALSE), "")</f>
        <v>4</v>
      </c>
      <c r="F50" s="219">
        <v>3</v>
      </c>
      <c r="G50" s="183"/>
      <c r="H50" s="123"/>
      <c r="I50" s="276" t="s">
        <v>298</v>
      </c>
      <c r="J50" s="210"/>
      <c r="K50" s="14"/>
      <c r="L50" s="15"/>
      <c r="M50" s="167"/>
      <c r="N50" s="56"/>
      <c r="O50" s="263"/>
      <c r="P50" s="273"/>
    </row>
    <row r="51" spans="1:16" ht="15.6" customHeight="1" x14ac:dyDescent="0.25">
      <c r="A51" s="259"/>
      <c r="B51" s="261"/>
      <c r="C51" s="89" t="s">
        <v>264</v>
      </c>
      <c r="D51" s="163" t="s">
        <v>296</v>
      </c>
      <c r="E51" s="172">
        <f>IFERROR(VLOOKUP(D51, 기본학점, 2, FALSE), "")</f>
        <v>4</v>
      </c>
      <c r="F51" s="136">
        <v>3</v>
      </c>
      <c r="G51" s="114"/>
      <c r="H51" s="121"/>
      <c r="I51" s="269"/>
      <c r="J51" s="209"/>
      <c r="K51" s="20"/>
      <c r="L51" s="21"/>
      <c r="M51" s="165"/>
      <c r="N51" s="146"/>
      <c r="O51" s="263"/>
      <c r="P51" s="273"/>
    </row>
    <row r="52" spans="1:16" ht="15.6" customHeight="1" x14ac:dyDescent="0.25">
      <c r="A52" s="259"/>
      <c r="B52" s="244" t="s">
        <v>187</v>
      </c>
      <c r="C52" s="56" t="s">
        <v>270</v>
      </c>
      <c r="D52" s="161" t="s">
        <v>317</v>
      </c>
      <c r="E52" s="180">
        <v>2</v>
      </c>
      <c r="F52" s="219">
        <v>1</v>
      </c>
      <c r="G52" s="100"/>
      <c r="H52" s="123"/>
      <c r="I52" s="276" t="s">
        <v>299</v>
      </c>
      <c r="J52" s="210"/>
      <c r="K52" s="14"/>
      <c r="L52" s="15"/>
      <c r="M52" s="167" t="s">
        <v>309</v>
      </c>
      <c r="N52" s="56"/>
      <c r="O52" s="263"/>
      <c r="P52" s="273"/>
    </row>
    <row r="53" spans="1:16" ht="15.6" customHeight="1" thickBot="1" x14ac:dyDescent="0.3">
      <c r="A53" s="259"/>
      <c r="B53" s="275"/>
      <c r="C53" s="150" t="s">
        <v>265</v>
      </c>
      <c r="D53" s="221" t="s">
        <v>310</v>
      </c>
      <c r="E53" s="222">
        <v>2</v>
      </c>
      <c r="F53" s="222">
        <v>1</v>
      </c>
      <c r="G53" s="107"/>
      <c r="H53" s="131"/>
      <c r="I53" s="277"/>
      <c r="J53" s="211"/>
      <c r="K53" s="38"/>
      <c r="L53" s="41"/>
      <c r="M53" s="164" t="s">
        <v>311</v>
      </c>
      <c r="N53" s="150"/>
      <c r="O53" s="263"/>
      <c r="P53" s="273"/>
    </row>
    <row r="54" spans="1:16" ht="15.6" customHeight="1" x14ac:dyDescent="0.25">
      <c r="A54" s="259"/>
      <c r="B54" s="245" t="s">
        <v>289</v>
      </c>
      <c r="C54" s="199" t="s">
        <v>270</v>
      </c>
      <c r="D54" s="200" t="s">
        <v>300</v>
      </c>
      <c r="E54" s="92">
        <f t="shared" ref="E54:E60" si="1">IFERROR(VLOOKUP(D54, 기본학점, 2, FALSE), "")</f>
        <v>4</v>
      </c>
      <c r="F54" s="201">
        <v>3</v>
      </c>
      <c r="G54" s="39"/>
      <c r="H54" s="202"/>
      <c r="I54" s="39"/>
      <c r="J54" s="278" t="s">
        <v>303</v>
      </c>
      <c r="K54" s="203"/>
      <c r="L54" s="204"/>
      <c r="M54" s="205"/>
      <c r="N54" s="206"/>
      <c r="O54" s="263"/>
      <c r="P54" s="273"/>
    </row>
    <row r="55" spans="1:16" ht="15.6" customHeight="1" x14ac:dyDescent="0.25">
      <c r="A55" s="259"/>
      <c r="B55" s="261"/>
      <c r="C55" s="17" t="s">
        <v>270</v>
      </c>
      <c r="D55" s="163" t="s">
        <v>301</v>
      </c>
      <c r="E55" s="136">
        <f t="shared" si="1"/>
        <v>4</v>
      </c>
      <c r="F55" s="136">
        <v>3</v>
      </c>
      <c r="G55" s="101"/>
      <c r="H55" s="130"/>
      <c r="I55" s="101"/>
      <c r="J55" s="279"/>
      <c r="K55" s="34"/>
      <c r="L55" s="35"/>
      <c r="M55" s="160"/>
      <c r="N55" s="85"/>
      <c r="O55" s="263"/>
      <c r="P55" s="273"/>
    </row>
    <row r="56" spans="1:16" ht="15.6" customHeight="1" x14ac:dyDescent="0.25">
      <c r="A56" s="259"/>
      <c r="B56" s="244" t="s">
        <v>240</v>
      </c>
      <c r="C56" s="16" t="s">
        <v>270</v>
      </c>
      <c r="D56" s="161" t="s">
        <v>65</v>
      </c>
      <c r="E56" s="180">
        <f t="shared" si="1"/>
        <v>4</v>
      </c>
      <c r="F56" s="95">
        <v>3</v>
      </c>
      <c r="G56" s="100"/>
      <c r="H56" s="128"/>
      <c r="I56" s="100"/>
      <c r="J56" s="279"/>
      <c r="K56" s="12"/>
      <c r="L56" s="32"/>
      <c r="M56" s="167"/>
      <c r="N56" s="147"/>
      <c r="O56" s="263"/>
      <c r="P56" s="273"/>
    </row>
    <row r="57" spans="1:16" ht="15.6" customHeight="1" x14ac:dyDescent="0.25">
      <c r="A57" s="259"/>
      <c r="B57" s="245"/>
      <c r="C57" s="7" t="s">
        <v>270</v>
      </c>
      <c r="D57" s="159" t="s">
        <v>67</v>
      </c>
      <c r="E57" s="172">
        <f>IFERROR(VLOOKUP(D57, 기본학점, 2, FALSE), "")</f>
        <v>4</v>
      </c>
      <c r="F57" s="98">
        <v>3</v>
      </c>
      <c r="G57" s="40"/>
      <c r="H57" s="129"/>
      <c r="I57" s="40"/>
      <c r="J57" s="279"/>
      <c r="K57" s="8"/>
      <c r="L57" s="33"/>
      <c r="M57" s="166"/>
      <c r="N57" s="145"/>
      <c r="O57" s="263"/>
      <c r="P57" s="273"/>
    </row>
    <row r="58" spans="1:16" ht="15.6" customHeight="1" x14ac:dyDescent="0.25">
      <c r="A58" s="259"/>
      <c r="B58" s="245"/>
      <c r="C58" s="7" t="s">
        <v>270</v>
      </c>
      <c r="D58" s="159" t="s">
        <v>146</v>
      </c>
      <c r="E58" s="172">
        <f t="shared" si="1"/>
        <v>4</v>
      </c>
      <c r="F58" s="98">
        <v>3</v>
      </c>
      <c r="G58" s="116"/>
      <c r="H58" s="124"/>
      <c r="I58" s="116"/>
      <c r="J58" s="279"/>
      <c r="K58" s="36"/>
      <c r="L58" s="9"/>
      <c r="M58" s="166"/>
      <c r="N58" s="145"/>
      <c r="O58" s="263"/>
      <c r="P58" s="273"/>
    </row>
    <row r="59" spans="1:16" ht="15.6" customHeight="1" x14ac:dyDescent="0.25">
      <c r="A59" s="259"/>
      <c r="B59" s="261"/>
      <c r="C59" s="22" t="s">
        <v>270</v>
      </c>
      <c r="D59" s="163" t="s">
        <v>148</v>
      </c>
      <c r="E59" s="136">
        <f t="shared" si="1"/>
        <v>4</v>
      </c>
      <c r="F59" s="94">
        <v>3</v>
      </c>
      <c r="G59" s="117"/>
      <c r="H59" s="125"/>
      <c r="I59" s="117"/>
      <c r="J59" s="279"/>
      <c r="K59" s="37"/>
      <c r="L59" s="19"/>
      <c r="M59" s="160"/>
      <c r="N59" s="146"/>
      <c r="O59" s="263"/>
      <c r="P59" s="273"/>
    </row>
    <row r="60" spans="1:16" ht="15.6" customHeight="1" x14ac:dyDescent="0.25">
      <c r="A60" s="259"/>
      <c r="B60" s="184" t="s">
        <v>186</v>
      </c>
      <c r="C60" s="16" t="s">
        <v>270</v>
      </c>
      <c r="D60" s="161" t="s">
        <v>153</v>
      </c>
      <c r="E60" s="180">
        <f t="shared" si="1"/>
        <v>4</v>
      </c>
      <c r="F60" s="135">
        <v>3</v>
      </c>
      <c r="G60" s="118"/>
      <c r="H60" s="128"/>
      <c r="I60" s="118"/>
      <c r="J60" s="280"/>
      <c r="K60" s="14"/>
      <c r="L60" s="13"/>
      <c r="M60" s="167"/>
      <c r="N60" s="56"/>
      <c r="O60" s="263"/>
      <c r="P60" s="273"/>
    </row>
    <row r="61" spans="1:16" ht="15.6" customHeight="1" x14ac:dyDescent="0.25">
      <c r="A61" s="259"/>
      <c r="B61" s="244" t="s">
        <v>187</v>
      </c>
      <c r="C61" s="56" t="s">
        <v>270</v>
      </c>
      <c r="D61" s="161" t="s">
        <v>302</v>
      </c>
      <c r="E61" s="180">
        <v>2</v>
      </c>
      <c r="F61" s="135">
        <v>1</v>
      </c>
      <c r="G61" s="118"/>
      <c r="H61" s="128"/>
      <c r="I61" s="118"/>
      <c r="J61" s="281" t="s">
        <v>299</v>
      </c>
      <c r="K61" s="14"/>
      <c r="L61" s="13"/>
      <c r="M61" s="167" t="s">
        <v>309</v>
      </c>
      <c r="N61" s="147"/>
      <c r="O61" s="263"/>
      <c r="P61" s="273"/>
    </row>
    <row r="62" spans="1:16" ht="15.6" customHeight="1" thickBot="1" x14ac:dyDescent="0.3">
      <c r="A62" s="283"/>
      <c r="B62" s="261"/>
      <c r="C62" s="223" t="s">
        <v>265</v>
      </c>
      <c r="D62" s="163" t="s">
        <v>312</v>
      </c>
      <c r="E62" s="136">
        <v>2</v>
      </c>
      <c r="F62" s="136">
        <v>1</v>
      </c>
      <c r="G62" s="115"/>
      <c r="H62" s="126"/>
      <c r="I62" s="115"/>
      <c r="J62" s="282"/>
      <c r="K62" s="23"/>
      <c r="L62" s="24"/>
      <c r="M62" s="160" t="s">
        <v>309</v>
      </c>
      <c r="N62" s="85"/>
      <c r="O62" s="271"/>
      <c r="P62" s="274"/>
    </row>
    <row r="63" spans="1:16" ht="15.6" customHeight="1" x14ac:dyDescent="0.25">
      <c r="A63" s="259" t="s">
        <v>290</v>
      </c>
      <c r="B63" s="260" t="s">
        <v>289</v>
      </c>
      <c r="C63" s="30" t="s">
        <v>270</v>
      </c>
      <c r="D63" s="157" t="s">
        <v>304</v>
      </c>
      <c r="E63" s="141">
        <f t="shared" ref="E63:E81" si="2">IFERROR(VLOOKUP(D63, 기본학점, 2, FALSE), "")</f>
        <v>4</v>
      </c>
      <c r="F63" s="141">
        <v>3</v>
      </c>
      <c r="G63" s="102"/>
      <c r="H63" s="127"/>
      <c r="I63" s="102"/>
      <c r="J63" s="207"/>
      <c r="K63" s="290" t="s">
        <v>308</v>
      </c>
      <c r="L63" s="207"/>
      <c r="M63" s="168"/>
      <c r="N63" s="149"/>
      <c r="O63" s="284">
        <v>29</v>
      </c>
      <c r="P63" s="287"/>
    </row>
    <row r="64" spans="1:16" ht="15.6" customHeight="1" x14ac:dyDescent="0.25">
      <c r="A64" s="259"/>
      <c r="B64" s="245"/>
      <c r="C64" s="7" t="s">
        <v>270</v>
      </c>
      <c r="D64" s="169" t="s">
        <v>305</v>
      </c>
      <c r="E64" s="119">
        <f>IFERROR(VLOOKUP(D64, 기본학점, 2, FALSE), "")</f>
        <v>4</v>
      </c>
      <c r="F64" s="140">
        <v>3</v>
      </c>
      <c r="G64" s="40"/>
      <c r="H64" s="124"/>
      <c r="I64" s="40"/>
      <c r="J64" s="208"/>
      <c r="K64" s="291"/>
      <c r="L64" s="208"/>
      <c r="M64" s="166"/>
      <c r="N64" s="145"/>
      <c r="O64" s="285"/>
      <c r="P64" s="288"/>
    </row>
    <row r="65" spans="1:16" ht="15.6" customHeight="1" x14ac:dyDescent="0.25">
      <c r="A65" s="259"/>
      <c r="B65" s="261"/>
      <c r="C65" s="22" t="s">
        <v>265</v>
      </c>
      <c r="D65" s="163" t="s">
        <v>35</v>
      </c>
      <c r="E65" s="139">
        <f t="shared" si="2"/>
        <v>4</v>
      </c>
      <c r="F65" s="99">
        <v>3</v>
      </c>
      <c r="G65" s="173"/>
      <c r="H65" s="174"/>
      <c r="I65" s="173"/>
      <c r="J65" s="217"/>
      <c r="K65" s="291"/>
      <c r="L65" s="217"/>
      <c r="M65" s="160"/>
      <c r="N65" s="85"/>
      <c r="O65" s="285"/>
      <c r="P65" s="288"/>
    </row>
    <row r="66" spans="1:16" ht="15.6" customHeight="1" x14ac:dyDescent="0.25">
      <c r="A66" s="259"/>
      <c r="B66" s="244" t="s">
        <v>240</v>
      </c>
      <c r="C66" s="16" t="s">
        <v>270</v>
      </c>
      <c r="D66" s="161" t="s">
        <v>66</v>
      </c>
      <c r="E66" s="180">
        <f t="shared" si="2"/>
        <v>4</v>
      </c>
      <c r="F66" s="135">
        <v>3</v>
      </c>
      <c r="G66" s="100"/>
      <c r="H66" s="123"/>
      <c r="I66" s="100"/>
      <c r="J66" s="210"/>
      <c r="K66" s="291"/>
      <c r="L66" s="210"/>
      <c r="M66" s="167"/>
      <c r="N66" s="147"/>
      <c r="O66" s="285"/>
      <c r="P66" s="288"/>
    </row>
    <row r="67" spans="1:16" ht="15.6" customHeight="1" x14ac:dyDescent="0.25">
      <c r="A67" s="259"/>
      <c r="B67" s="245"/>
      <c r="C67" s="7" t="s">
        <v>270</v>
      </c>
      <c r="D67" s="159" t="s">
        <v>145</v>
      </c>
      <c r="E67" s="172">
        <f>IFERROR(VLOOKUP(D67, 기본학점, 2, FALSE), "")</f>
        <v>4</v>
      </c>
      <c r="F67" s="140">
        <v>3</v>
      </c>
      <c r="G67" s="40"/>
      <c r="H67" s="124"/>
      <c r="I67" s="40"/>
      <c r="J67" s="208"/>
      <c r="K67" s="291"/>
      <c r="L67" s="208"/>
      <c r="M67" s="166"/>
      <c r="N67" s="145"/>
      <c r="O67" s="285"/>
      <c r="P67" s="288"/>
    </row>
    <row r="68" spans="1:16" ht="15.6" customHeight="1" x14ac:dyDescent="0.25">
      <c r="A68" s="259"/>
      <c r="B68" s="245"/>
      <c r="C68" s="7" t="s">
        <v>270</v>
      </c>
      <c r="D68" s="159" t="s">
        <v>147</v>
      </c>
      <c r="E68" s="172">
        <f t="shared" si="2"/>
        <v>4</v>
      </c>
      <c r="F68" s="140">
        <v>3</v>
      </c>
      <c r="G68" s="40"/>
      <c r="H68" s="124"/>
      <c r="I68" s="40"/>
      <c r="J68" s="208"/>
      <c r="K68" s="291"/>
      <c r="L68" s="208"/>
      <c r="M68" s="166"/>
      <c r="N68" s="145"/>
      <c r="O68" s="285"/>
      <c r="P68" s="288"/>
    </row>
    <row r="69" spans="1:16" ht="15.6" customHeight="1" x14ac:dyDescent="0.25">
      <c r="A69" s="259"/>
      <c r="B69" s="261"/>
      <c r="C69" s="17" t="s">
        <v>270</v>
      </c>
      <c r="D69" s="163" t="s">
        <v>149</v>
      </c>
      <c r="E69" s="136">
        <f t="shared" si="2"/>
        <v>4</v>
      </c>
      <c r="F69" s="99">
        <v>3</v>
      </c>
      <c r="G69" s="101"/>
      <c r="H69" s="125"/>
      <c r="I69" s="101"/>
      <c r="J69" s="213"/>
      <c r="K69" s="291"/>
      <c r="L69" s="213"/>
      <c r="M69" s="160"/>
      <c r="N69" s="146"/>
      <c r="O69" s="285"/>
      <c r="P69" s="288"/>
    </row>
    <row r="70" spans="1:16" ht="15.6" customHeight="1" x14ac:dyDescent="0.25">
      <c r="A70" s="259"/>
      <c r="B70" s="184" t="s">
        <v>186</v>
      </c>
      <c r="C70" s="16" t="s">
        <v>270</v>
      </c>
      <c r="D70" s="161" t="s">
        <v>154</v>
      </c>
      <c r="E70" s="180">
        <f t="shared" si="2"/>
        <v>4</v>
      </c>
      <c r="F70" s="135">
        <v>3</v>
      </c>
      <c r="G70" s="100"/>
      <c r="H70" s="123"/>
      <c r="I70" s="100"/>
      <c r="J70" s="210"/>
      <c r="K70" s="292"/>
      <c r="L70" s="210"/>
      <c r="M70" s="167"/>
      <c r="N70" s="56"/>
      <c r="O70" s="285"/>
      <c r="P70" s="288"/>
    </row>
    <row r="71" spans="1:16" ht="15.6" customHeight="1" x14ac:dyDescent="0.25">
      <c r="A71" s="259"/>
      <c r="B71" s="244" t="s">
        <v>187</v>
      </c>
      <c r="C71" s="56" t="s">
        <v>270</v>
      </c>
      <c r="D71" s="161" t="s">
        <v>306</v>
      </c>
      <c r="E71" s="180">
        <v>2</v>
      </c>
      <c r="F71" s="138">
        <v>1</v>
      </c>
      <c r="G71" s="100"/>
      <c r="H71" s="128"/>
      <c r="I71" s="100"/>
      <c r="J71" s="212"/>
      <c r="K71" s="293" t="s">
        <v>299</v>
      </c>
      <c r="L71" s="212"/>
      <c r="M71" s="167" t="s">
        <v>309</v>
      </c>
      <c r="N71" s="147"/>
      <c r="O71" s="285"/>
      <c r="P71" s="288"/>
    </row>
    <row r="72" spans="1:16" ht="15.6" customHeight="1" thickBot="1" x14ac:dyDescent="0.3">
      <c r="A72" s="259"/>
      <c r="B72" s="275"/>
      <c r="C72" s="150" t="s">
        <v>265</v>
      </c>
      <c r="D72" s="221" t="s">
        <v>313</v>
      </c>
      <c r="E72" s="222">
        <v>2</v>
      </c>
      <c r="F72" s="222">
        <v>1</v>
      </c>
      <c r="G72" s="107"/>
      <c r="H72" s="215"/>
      <c r="I72" s="107"/>
      <c r="J72" s="218"/>
      <c r="K72" s="294"/>
      <c r="L72" s="218"/>
      <c r="M72" s="164" t="s">
        <v>309</v>
      </c>
      <c r="N72" s="150"/>
      <c r="O72" s="285"/>
      <c r="P72" s="288"/>
    </row>
    <row r="73" spans="1:16" ht="15.6" customHeight="1" x14ac:dyDescent="0.25">
      <c r="A73" s="259"/>
      <c r="B73" s="198" t="s">
        <v>289</v>
      </c>
      <c r="C73" s="199" t="s">
        <v>265</v>
      </c>
      <c r="D73" s="200" t="s">
        <v>60</v>
      </c>
      <c r="E73" s="92">
        <f t="shared" si="2"/>
        <v>4</v>
      </c>
      <c r="F73" s="93">
        <v>3</v>
      </c>
      <c r="G73" s="39"/>
      <c r="H73" s="202"/>
      <c r="I73" s="5"/>
      <c r="J73" s="214"/>
      <c r="K73" s="5"/>
      <c r="L73" s="295" t="s">
        <v>297</v>
      </c>
      <c r="M73" s="205"/>
      <c r="N73" s="206"/>
      <c r="O73" s="285"/>
      <c r="P73" s="288"/>
    </row>
    <row r="74" spans="1:16" ht="15.6" customHeight="1" x14ac:dyDescent="0.25">
      <c r="A74" s="259"/>
      <c r="B74" s="244" t="s">
        <v>240</v>
      </c>
      <c r="C74" s="16" t="s">
        <v>265</v>
      </c>
      <c r="D74" s="161" t="s">
        <v>164</v>
      </c>
      <c r="E74" s="180">
        <f t="shared" si="2"/>
        <v>4</v>
      </c>
      <c r="F74" s="135">
        <v>3</v>
      </c>
      <c r="G74" s="100"/>
      <c r="H74" s="128"/>
      <c r="I74" s="12"/>
      <c r="J74" s="32"/>
      <c r="K74" s="12"/>
      <c r="L74" s="279"/>
      <c r="M74" s="167"/>
      <c r="N74" s="56"/>
      <c r="O74" s="285"/>
      <c r="P74" s="288"/>
    </row>
    <row r="75" spans="1:16" ht="15.6" customHeight="1" x14ac:dyDescent="0.25">
      <c r="A75" s="259"/>
      <c r="B75" s="245"/>
      <c r="C75" s="7" t="s">
        <v>265</v>
      </c>
      <c r="D75" s="159" t="s">
        <v>165</v>
      </c>
      <c r="E75" s="172">
        <f>IFERROR(VLOOKUP(D75, 기본학점, 2, FALSE), "")</f>
        <v>4</v>
      </c>
      <c r="F75" s="152">
        <v>3</v>
      </c>
      <c r="G75" s="40"/>
      <c r="H75" s="129"/>
      <c r="I75" s="8"/>
      <c r="J75" s="33"/>
      <c r="K75" s="8"/>
      <c r="L75" s="279"/>
      <c r="M75" s="166"/>
      <c r="N75" s="134"/>
      <c r="O75" s="285"/>
      <c r="P75" s="288"/>
    </row>
    <row r="76" spans="1:16" ht="15.6" customHeight="1" x14ac:dyDescent="0.25">
      <c r="A76" s="259"/>
      <c r="B76" s="261"/>
      <c r="C76" s="22" t="s">
        <v>265</v>
      </c>
      <c r="D76" s="163" t="s">
        <v>166</v>
      </c>
      <c r="E76" s="136">
        <f t="shared" si="2"/>
        <v>4</v>
      </c>
      <c r="F76" s="99">
        <v>3</v>
      </c>
      <c r="G76" s="117"/>
      <c r="H76" s="125"/>
      <c r="I76" s="37"/>
      <c r="J76" s="19"/>
      <c r="K76" s="37"/>
      <c r="L76" s="280"/>
      <c r="M76" s="160"/>
      <c r="N76" s="85"/>
      <c r="O76" s="285"/>
      <c r="P76" s="288"/>
    </row>
    <row r="77" spans="1:16" ht="15.6" customHeight="1" x14ac:dyDescent="0.25">
      <c r="A77" s="259"/>
      <c r="B77" s="244" t="s">
        <v>241</v>
      </c>
      <c r="C77" s="16" t="s">
        <v>265</v>
      </c>
      <c r="D77" s="161" t="s">
        <v>307</v>
      </c>
      <c r="E77" s="180">
        <f t="shared" si="2"/>
        <v>4</v>
      </c>
      <c r="F77" s="135">
        <v>3</v>
      </c>
      <c r="G77" s="118"/>
      <c r="H77" s="128"/>
      <c r="I77" s="29"/>
      <c r="J77" s="32"/>
      <c r="K77" s="29"/>
      <c r="L77" s="296" t="s">
        <v>298</v>
      </c>
      <c r="M77" s="167"/>
      <c r="N77" s="147"/>
      <c r="O77" s="285"/>
      <c r="P77" s="288"/>
    </row>
    <row r="78" spans="1:16" ht="15.6" customHeight="1" x14ac:dyDescent="0.25">
      <c r="A78" s="259"/>
      <c r="B78" s="261"/>
      <c r="C78" s="22" t="s">
        <v>270</v>
      </c>
      <c r="D78" s="163" t="s">
        <v>82</v>
      </c>
      <c r="E78" s="136">
        <f t="shared" si="2"/>
        <v>4</v>
      </c>
      <c r="F78" s="136">
        <v>3</v>
      </c>
      <c r="G78" s="101"/>
      <c r="H78" s="125"/>
      <c r="I78" s="18"/>
      <c r="J78" s="19"/>
      <c r="K78" s="18"/>
      <c r="L78" s="280"/>
      <c r="M78" s="160"/>
      <c r="N78" s="146"/>
      <c r="O78" s="285"/>
      <c r="P78" s="288"/>
    </row>
    <row r="79" spans="1:16" ht="15.6" customHeight="1" x14ac:dyDescent="0.25">
      <c r="A79" s="259"/>
      <c r="B79" s="244" t="s">
        <v>187</v>
      </c>
      <c r="C79" s="56" t="s">
        <v>270</v>
      </c>
      <c r="D79" s="224" t="s">
        <v>315</v>
      </c>
      <c r="E79" s="180">
        <v>2</v>
      </c>
      <c r="F79" s="138">
        <v>1</v>
      </c>
      <c r="G79" s="100"/>
      <c r="H79" s="123"/>
      <c r="I79" s="12"/>
      <c r="J79" s="13"/>
      <c r="K79" s="12"/>
      <c r="L79" s="297" t="s">
        <v>299</v>
      </c>
      <c r="M79" s="167" t="s">
        <v>309</v>
      </c>
      <c r="N79" s="56"/>
      <c r="O79" s="285"/>
      <c r="P79" s="288"/>
    </row>
    <row r="80" spans="1:16" ht="15.6" customHeight="1" thickBot="1" x14ac:dyDescent="0.3">
      <c r="A80" s="259"/>
      <c r="B80" s="261"/>
      <c r="C80" s="85" t="s">
        <v>265</v>
      </c>
      <c r="D80" s="163" t="s">
        <v>314</v>
      </c>
      <c r="E80" s="136">
        <v>2</v>
      </c>
      <c r="F80" s="136">
        <v>1</v>
      </c>
      <c r="G80" s="101"/>
      <c r="H80" s="125"/>
      <c r="I80" s="18"/>
      <c r="J80" s="19"/>
      <c r="K80" s="216"/>
      <c r="L80" s="282"/>
      <c r="M80" s="160" t="s">
        <v>309</v>
      </c>
      <c r="N80" s="146"/>
      <c r="O80" s="286"/>
      <c r="P80" s="289"/>
    </row>
    <row r="81" spans="1:16" ht="18" hidden="1" thickBot="1" x14ac:dyDescent="0.3">
      <c r="A81" s="194"/>
      <c r="B81" s="91"/>
      <c r="C81" s="109"/>
      <c r="D81" s="110"/>
      <c r="E81" s="96" t="str">
        <f t="shared" si="2"/>
        <v/>
      </c>
      <c r="F81" s="99"/>
      <c r="G81" s="108"/>
      <c r="H81" s="188"/>
      <c r="I81" s="26"/>
      <c r="J81" s="193"/>
      <c r="K81" s="91"/>
      <c r="L81" s="193"/>
      <c r="M81" s="25"/>
      <c r="N81" s="25"/>
      <c r="O81" s="154"/>
      <c r="P81" s="197"/>
    </row>
    <row r="82" spans="1:16" ht="17.25" customHeight="1" x14ac:dyDescent="0.25">
      <c r="A82" s="310" t="s">
        <v>184</v>
      </c>
      <c r="B82" s="311"/>
      <c r="C82" s="311"/>
      <c r="D82" s="311"/>
      <c r="E82" s="312"/>
      <c r="F82" s="49"/>
      <c r="G82" s="43">
        <f>SUM(G7:G80)</f>
        <v>29</v>
      </c>
      <c r="H82" s="155">
        <f>SUM(H7:H81)</f>
        <v>29</v>
      </c>
      <c r="I82" s="43">
        <v>29</v>
      </c>
      <c r="J82" s="44">
        <v>29</v>
      </c>
      <c r="K82" s="45">
        <v>30</v>
      </c>
      <c r="L82" s="28">
        <v>28</v>
      </c>
      <c r="M82" s="148"/>
      <c r="N82" s="148"/>
      <c r="O82" s="27">
        <f>SUM(G82:L82)</f>
        <v>174</v>
      </c>
      <c r="P82" s="186">
        <f>SUM(P7:P80)</f>
        <v>84</v>
      </c>
    </row>
    <row r="83" spans="1:16" ht="15.6" x14ac:dyDescent="0.25">
      <c r="A83" s="313" t="s">
        <v>5</v>
      </c>
      <c r="B83" s="314"/>
      <c r="C83" s="314"/>
      <c r="D83" s="314"/>
      <c r="E83" s="315"/>
      <c r="F83" s="46">
        <v>18</v>
      </c>
      <c r="G83" s="26">
        <v>3</v>
      </c>
      <c r="H83" s="193">
        <v>3</v>
      </c>
      <c r="I83" s="192">
        <v>3</v>
      </c>
      <c r="J83" s="193">
        <v>3</v>
      </c>
      <c r="K83" s="192">
        <v>3</v>
      </c>
      <c r="L83" s="196">
        <v>3</v>
      </c>
      <c r="M83" s="70"/>
      <c r="N83" s="26"/>
      <c r="O83" s="26">
        <f>SUM(G83:L83)</f>
        <v>18</v>
      </c>
      <c r="P83" s="185">
        <v>18</v>
      </c>
    </row>
    <row r="84" spans="1:16" ht="15" customHeight="1" x14ac:dyDescent="0.25">
      <c r="A84" s="313" t="s">
        <v>23</v>
      </c>
      <c r="B84" s="314"/>
      <c r="C84" s="314"/>
      <c r="D84" s="314"/>
      <c r="E84" s="314"/>
      <c r="F84" s="315"/>
      <c r="G84" s="47">
        <f>SUM(G82:G83)</f>
        <v>32</v>
      </c>
      <c r="H84" s="48">
        <f t="shared" ref="H84" si="3">SUM(H82:H83)</f>
        <v>32</v>
      </c>
      <c r="I84" s="47">
        <f>SUM(I82:I83)</f>
        <v>32</v>
      </c>
      <c r="J84" s="48">
        <f t="shared" ref="J84" si="4">SUM(J82:J83)</f>
        <v>32</v>
      </c>
      <c r="K84" s="47">
        <f>SUM(K82:K83)</f>
        <v>33</v>
      </c>
      <c r="L84" s="48">
        <f t="shared" ref="L84" si="5">SUM(L82:L83)</f>
        <v>31</v>
      </c>
      <c r="M84" s="46"/>
      <c r="N84" s="195"/>
      <c r="O84" s="316">
        <f>SUM(G84:M84)</f>
        <v>192</v>
      </c>
      <c r="P84" s="317"/>
    </row>
    <row r="85" spans="1:16" ht="15" customHeight="1" x14ac:dyDescent="0.25">
      <c r="A85" s="313" t="s">
        <v>185</v>
      </c>
      <c r="B85" s="314"/>
      <c r="C85" s="314"/>
      <c r="D85" s="314"/>
      <c r="E85" s="314"/>
      <c r="F85" s="315"/>
      <c r="G85" s="195">
        <v>10</v>
      </c>
      <c r="H85" s="48">
        <v>10</v>
      </c>
      <c r="I85" s="47">
        <v>10</v>
      </c>
      <c r="J85" s="48">
        <v>10</v>
      </c>
      <c r="K85" s="47">
        <v>10</v>
      </c>
      <c r="L85" s="220">
        <v>10</v>
      </c>
      <c r="M85" s="46"/>
      <c r="N85" s="195"/>
      <c r="O85" s="318"/>
      <c r="P85" s="319"/>
    </row>
    <row r="86" spans="1:16" ht="17.25" customHeight="1" thickBot="1" x14ac:dyDescent="0.3">
      <c r="A86" s="320" t="s">
        <v>24</v>
      </c>
      <c r="B86" s="321"/>
      <c r="C86" s="321"/>
      <c r="D86" s="321"/>
      <c r="E86" s="321"/>
      <c r="F86" s="322"/>
      <c r="G86" s="323">
        <f>SUM(G84:H84)</f>
        <v>64</v>
      </c>
      <c r="H86" s="322"/>
      <c r="I86" s="323">
        <f t="shared" ref="I86" si="6">SUM(I84:J84)</f>
        <v>64</v>
      </c>
      <c r="J86" s="322"/>
      <c r="K86" s="323">
        <f t="shared" ref="K86" si="7">SUM(K84:L84)</f>
        <v>64</v>
      </c>
      <c r="L86" s="322"/>
      <c r="M86" s="70"/>
      <c r="N86" s="26"/>
      <c r="O86" s="323">
        <f>SUM(G86:M86)</f>
        <v>192</v>
      </c>
      <c r="P86" s="324"/>
    </row>
    <row r="87" spans="1:16" x14ac:dyDescent="0.25">
      <c r="A87" s="298" t="s">
        <v>316</v>
      </c>
      <c r="B87" s="299"/>
      <c r="C87" s="299"/>
      <c r="D87" s="299"/>
      <c r="E87" s="299"/>
      <c r="F87" s="299"/>
      <c r="G87" s="299"/>
      <c r="H87" s="299"/>
      <c r="I87" s="299"/>
      <c r="J87" s="299"/>
      <c r="K87" s="299"/>
      <c r="L87" s="299"/>
      <c r="M87" s="299"/>
      <c r="N87" s="299"/>
      <c r="O87" s="299"/>
      <c r="P87" s="300"/>
    </row>
    <row r="88" spans="1:16" x14ac:dyDescent="0.25">
      <c r="A88" s="301"/>
      <c r="B88" s="302"/>
      <c r="C88" s="302"/>
      <c r="D88" s="302"/>
      <c r="E88" s="302"/>
      <c r="F88" s="302"/>
      <c r="G88" s="302"/>
      <c r="H88" s="302"/>
      <c r="I88" s="302"/>
      <c r="J88" s="302"/>
      <c r="K88" s="302"/>
      <c r="L88" s="302"/>
      <c r="M88" s="302"/>
      <c r="N88" s="302"/>
      <c r="O88" s="302"/>
      <c r="P88" s="303"/>
    </row>
    <row r="89" spans="1:16" x14ac:dyDescent="0.25">
      <c r="A89" s="301"/>
      <c r="B89" s="302"/>
      <c r="C89" s="302"/>
      <c r="D89" s="302"/>
      <c r="E89" s="302"/>
      <c r="F89" s="302"/>
      <c r="G89" s="302"/>
      <c r="H89" s="302"/>
      <c r="I89" s="302"/>
      <c r="J89" s="302"/>
      <c r="K89" s="302"/>
      <c r="L89" s="302"/>
      <c r="M89" s="302"/>
      <c r="N89" s="302"/>
      <c r="O89" s="302"/>
      <c r="P89" s="303"/>
    </row>
    <row r="90" spans="1:16" x14ac:dyDescent="0.25">
      <c r="A90" s="301"/>
      <c r="B90" s="302"/>
      <c r="C90" s="302"/>
      <c r="D90" s="302"/>
      <c r="E90" s="302"/>
      <c r="F90" s="302"/>
      <c r="G90" s="302"/>
      <c r="H90" s="302"/>
      <c r="I90" s="302"/>
      <c r="J90" s="302"/>
      <c r="K90" s="302"/>
      <c r="L90" s="302"/>
      <c r="M90" s="302"/>
      <c r="N90" s="302"/>
      <c r="O90" s="302"/>
      <c r="P90" s="303"/>
    </row>
    <row r="91" spans="1:16" x14ac:dyDescent="0.25">
      <c r="A91" s="301"/>
      <c r="B91" s="302"/>
      <c r="C91" s="302"/>
      <c r="D91" s="302"/>
      <c r="E91" s="302"/>
      <c r="F91" s="302"/>
      <c r="G91" s="302"/>
      <c r="H91" s="302"/>
      <c r="I91" s="302"/>
      <c r="J91" s="302"/>
      <c r="K91" s="302"/>
      <c r="L91" s="302"/>
      <c r="M91" s="302"/>
      <c r="N91" s="302"/>
      <c r="O91" s="302"/>
      <c r="P91" s="303"/>
    </row>
    <row r="92" spans="1:16" x14ac:dyDescent="0.25">
      <c r="A92" s="301"/>
      <c r="B92" s="302"/>
      <c r="C92" s="302"/>
      <c r="D92" s="302"/>
      <c r="E92" s="302"/>
      <c r="F92" s="302"/>
      <c r="G92" s="302"/>
      <c r="H92" s="302"/>
      <c r="I92" s="302"/>
      <c r="J92" s="302"/>
      <c r="K92" s="302"/>
      <c r="L92" s="302"/>
      <c r="M92" s="302"/>
      <c r="N92" s="302"/>
      <c r="O92" s="302"/>
      <c r="P92" s="303"/>
    </row>
    <row r="93" spans="1:16" x14ac:dyDescent="0.25">
      <c r="A93" s="304"/>
      <c r="B93" s="305"/>
      <c r="C93" s="305"/>
      <c r="D93" s="305"/>
      <c r="E93" s="305"/>
      <c r="F93" s="305"/>
      <c r="G93" s="305"/>
      <c r="H93" s="305"/>
      <c r="I93" s="305"/>
      <c r="J93" s="305"/>
      <c r="K93" s="305"/>
      <c r="L93" s="305"/>
      <c r="M93" s="305"/>
      <c r="N93" s="305"/>
      <c r="O93" s="305"/>
      <c r="P93" s="306"/>
    </row>
    <row r="94" spans="1:16" x14ac:dyDescent="0.25">
      <c r="A94" s="304"/>
      <c r="B94" s="305"/>
      <c r="C94" s="305"/>
      <c r="D94" s="305"/>
      <c r="E94" s="305"/>
      <c r="F94" s="305"/>
      <c r="G94" s="305"/>
      <c r="H94" s="305"/>
      <c r="I94" s="305"/>
      <c r="J94" s="305"/>
      <c r="K94" s="305"/>
      <c r="L94" s="305"/>
      <c r="M94" s="305"/>
      <c r="N94" s="305"/>
      <c r="O94" s="305"/>
      <c r="P94" s="306"/>
    </row>
    <row r="95" spans="1:16" x14ac:dyDescent="0.25">
      <c r="A95" s="304"/>
      <c r="B95" s="305"/>
      <c r="C95" s="305"/>
      <c r="D95" s="305"/>
      <c r="E95" s="305"/>
      <c r="F95" s="305"/>
      <c r="G95" s="305"/>
      <c r="H95" s="305"/>
      <c r="I95" s="305"/>
      <c r="J95" s="305"/>
      <c r="K95" s="305"/>
      <c r="L95" s="305"/>
      <c r="M95" s="305"/>
      <c r="N95" s="305"/>
      <c r="O95" s="305"/>
      <c r="P95" s="306"/>
    </row>
    <row r="96" spans="1:16" x14ac:dyDescent="0.25">
      <c r="A96" s="304"/>
      <c r="B96" s="305"/>
      <c r="C96" s="305"/>
      <c r="D96" s="305"/>
      <c r="E96" s="305"/>
      <c r="F96" s="305"/>
      <c r="G96" s="305"/>
      <c r="H96" s="305"/>
      <c r="I96" s="305"/>
      <c r="J96" s="305"/>
      <c r="K96" s="305"/>
      <c r="L96" s="305"/>
      <c r="M96" s="305"/>
      <c r="N96" s="305"/>
      <c r="O96" s="305"/>
      <c r="P96" s="306"/>
    </row>
    <row r="97" spans="1:16" x14ac:dyDescent="0.25">
      <c r="A97" s="304"/>
      <c r="B97" s="305"/>
      <c r="C97" s="305"/>
      <c r="D97" s="305"/>
      <c r="E97" s="305"/>
      <c r="F97" s="305"/>
      <c r="G97" s="305"/>
      <c r="H97" s="305"/>
      <c r="I97" s="305"/>
      <c r="J97" s="305"/>
      <c r="K97" s="305"/>
      <c r="L97" s="305"/>
      <c r="M97" s="305"/>
      <c r="N97" s="305"/>
      <c r="O97" s="305"/>
      <c r="P97" s="306"/>
    </row>
    <row r="98" spans="1:16" ht="15" thickBot="1" x14ac:dyDescent="0.3">
      <c r="A98" s="307"/>
      <c r="B98" s="308"/>
      <c r="C98" s="308"/>
      <c r="D98" s="308"/>
      <c r="E98" s="308"/>
      <c r="F98" s="308"/>
      <c r="G98" s="308"/>
      <c r="H98" s="308"/>
      <c r="I98" s="308"/>
      <c r="J98" s="308"/>
      <c r="K98" s="308"/>
      <c r="L98" s="308"/>
      <c r="M98" s="308"/>
      <c r="N98" s="308"/>
      <c r="O98" s="308"/>
      <c r="P98" s="309"/>
    </row>
  </sheetData>
  <mergeCells count="88">
    <mergeCell ref="A87:P98"/>
    <mergeCell ref="A82:E82"/>
    <mergeCell ref="A83:E83"/>
    <mergeCell ref="A84:F84"/>
    <mergeCell ref="O84:P84"/>
    <mergeCell ref="A85:F85"/>
    <mergeCell ref="O85:P85"/>
    <mergeCell ref="A86:F86"/>
    <mergeCell ref="G86:H86"/>
    <mergeCell ref="I86:J86"/>
    <mergeCell ref="K86:L86"/>
    <mergeCell ref="O86:P86"/>
    <mergeCell ref="O63:O80"/>
    <mergeCell ref="P63:P80"/>
    <mergeCell ref="K63:K70"/>
    <mergeCell ref="K71:K72"/>
    <mergeCell ref="L73:L76"/>
    <mergeCell ref="L77:L78"/>
    <mergeCell ref="L79:L80"/>
    <mergeCell ref="A63:A80"/>
    <mergeCell ref="B63:B65"/>
    <mergeCell ref="B61:B62"/>
    <mergeCell ref="A46:A62"/>
    <mergeCell ref="B46:B49"/>
    <mergeCell ref="B66:B69"/>
    <mergeCell ref="B71:B72"/>
    <mergeCell ref="B74:B76"/>
    <mergeCell ref="B77:B78"/>
    <mergeCell ref="B79:B80"/>
    <mergeCell ref="I46:I49"/>
    <mergeCell ref="O44:O45"/>
    <mergeCell ref="O46:O62"/>
    <mergeCell ref="P46:P62"/>
    <mergeCell ref="B50:B51"/>
    <mergeCell ref="B52:B53"/>
    <mergeCell ref="B54:B55"/>
    <mergeCell ref="B56:B59"/>
    <mergeCell ref="I50:I51"/>
    <mergeCell ref="I52:I53"/>
    <mergeCell ref="J54:J60"/>
    <mergeCell ref="J61:J62"/>
    <mergeCell ref="O33:O38"/>
    <mergeCell ref="P33:P38"/>
    <mergeCell ref="B39:B43"/>
    <mergeCell ref="O39:O43"/>
    <mergeCell ref="P39:P43"/>
    <mergeCell ref="P3:P5"/>
    <mergeCell ref="B29:B32"/>
    <mergeCell ref="O29:O32"/>
    <mergeCell ref="P29:P32"/>
    <mergeCell ref="A7:A45"/>
    <mergeCell ref="B7:B12"/>
    <mergeCell ref="O7:O12"/>
    <mergeCell ref="P7:P12"/>
    <mergeCell ref="B13:B18"/>
    <mergeCell ref="O13:O18"/>
    <mergeCell ref="P13:P18"/>
    <mergeCell ref="B19:B24"/>
    <mergeCell ref="O19:O24"/>
    <mergeCell ref="P19:P24"/>
    <mergeCell ref="P44:P45"/>
    <mergeCell ref="B33:B38"/>
    <mergeCell ref="L4:L5"/>
    <mergeCell ref="I3:J3"/>
    <mergeCell ref="K3:L3"/>
    <mergeCell ref="N3:N5"/>
    <mergeCell ref="O3:O5"/>
    <mergeCell ref="B25:B28"/>
    <mergeCell ref="O25:O26"/>
    <mergeCell ref="P25:P26"/>
    <mergeCell ref="O27:O28"/>
    <mergeCell ref="P27:P28"/>
    <mergeCell ref="A1:P1"/>
    <mergeCell ref="A2:D2"/>
    <mergeCell ref="K2:P2"/>
    <mergeCell ref="A3:A5"/>
    <mergeCell ref="B3:B5"/>
    <mergeCell ref="C3:C5"/>
    <mergeCell ref="D3:D5"/>
    <mergeCell ref="E3:E5"/>
    <mergeCell ref="F3:F5"/>
    <mergeCell ref="G3:H3"/>
    <mergeCell ref="G4:G5"/>
    <mergeCell ref="H4:H5"/>
    <mergeCell ref="I4:I5"/>
    <mergeCell ref="M3:M5"/>
    <mergeCell ref="J4:J5"/>
    <mergeCell ref="K4:K5"/>
  </mergeCells>
  <phoneticPr fontId="1" type="noConversion"/>
  <conditionalFormatting sqref="E7:E11">
    <cfRule type="expression" dxfId="13" priority="68">
      <formula>ISTEXT(E7)</formula>
    </cfRule>
  </conditionalFormatting>
  <conditionalFormatting sqref="E13:E17">
    <cfRule type="expression" dxfId="12" priority="67">
      <formula>ISTEXT(E13)</formula>
    </cfRule>
  </conditionalFormatting>
  <conditionalFormatting sqref="E19:E23">
    <cfRule type="expression" dxfId="11" priority="9">
      <formula>ISTEXT(E19)</formula>
    </cfRule>
  </conditionalFormatting>
  <conditionalFormatting sqref="E25">
    <cfRule type="expression" dxfId="10" priority="65">
      <formula>ISTEXT(E25)</formula>
    </cfRule>
  </conditionalFormatting>
  <conditionalFormatting sqref="E27:E52">
    <cfRule type="expression" dxfId="9" priority="3">
      <formula>ISTEXT(E27)</formula>
    </cfRule>
  </conditionalFormatting>
  <conditionalFormatting sqref="E54">
    <cfRule type="expression" dxfId="8" priority="54">
      <formula>ISTEXT(E54)</formula>
    </cfRule>
  </conditionalFormatting>
  <conditionalFormatting sqref="E56:E58">
    <cfRule type="expression" dxfId="7" priority="51">
      <formula>ISTEXT(E56)</formula>
    </cfRule>
  </conditionalFormatting>
  <conditionalFormatting sqref="E60:E61">
    <cfRule type="expression" dxfId="6" priority="49">
      <formula>ISTEXT(E60)</formula>
    </cfRule>
  </conditionalFormatting>
  <conditionalFormatting sqref="E63:E64 E66:E68">
    <cfRule type="expression" dxfId="5" priority="69">
      <formula>ISTEXT(E63)</formula>
    </cfRule>
  </conditionalFormatting>
  <conditionalFormatting sqref="E70:E71">
    <cfRule type="expression" dxfId="4" priority="18">
      <formula>ISTEXT(E70)</formula>
    </cfRule>
  </conditionalFormatting>
  <conditionalFormatting sqref="E73:E75">
    <cfRule type="expression" dxfId="3" priority="16">
      <formula>ISTEXT(E73)</formula>
    </cfRule>
  </conditionalFormatting>
  <conditionalFormatting sqref="E77">
    <cfRule type="expression" dxfId="2" priority="13">
      <formula>ISTEXT(E77)</formula>
    </cfRule>
  </conditionalFormatting>
  <conditionalFormatting sqref="E79">
    <cfRule type="expression" dxfId="1" priority="12">
      <formula>ISTEXT(E79)</formula>
    </cfRule>
  </conditionalFormatting>
  <dataValidations count="5">
    <dataValidation type="list" allowBlank="1" showInputMessage="1" sqref="N81 M7:M81" xr:uid="{AA987AD5-8A80-43AF-8C29-2F98CD305AEA}">
      <formula1>비고</formula1>
    </dataValidation>
    <dataValidation type="list" allowBlank="1" showInputMessage="1" showErrorMessage="1" sqref="C33:C45 C60:C62 C74:C81" xr:uid="{C61E335A-0E8A-4349-9CEE-C986B2A69DB6}">
      <formula1>과목유형2</formula1>
    </dataValidation>
    <dataValidation type="list" allowBlank="1" showInputMessage="1" showErrorMessage="1" sqref="B7:B10 B13:B50 B52:B81" xr:uid="{D525D951-1B5D-4C46-ADB3-C30543762880}">
      <formula1>교과군</formula1>
    </dataValidation>
    <dataValidation type="list" allowBlank="1" showInputMessage="1" showErrorMessage="1" sqref="C7:C32 C63:C73 C46:C59" xr:uid="{9033D24C-8018-40A5-A337-7A036AF9809A}">
      <formula1>과목유형</formula1>
    </dataValidation>
    <dataValidation type="list" allowBlank="1" showInputMessage="1" sqref="N7:N80" xr:uid="{AE2A1F0A-B391-4DB0-9778-DE7F13E04303}">
      <formula1>과목개설유형</formula1>
    </dataValidation>
  </dataValidations>
  <printOptions horizontalCentered="1"/>
  <pageMargins left="0.19685039370078741" right="0.19685039370078741" top="0.19685039370078741" bottom="0.19685039370078741" header="0" footer="0"/>
  <pageSetup paperSize="9" scale="53" fitToHeight="0"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70" id="{9E6B1199-1E72-4B43-B9D7-E28ADE3EEC34}">
            <xm:f>OR(F7&lt;INDEX(데이터베이스!F:F,MATCH(D7,데이터베이스!D:D,0)), F7&gt;INDEX(데이터베이스!G:G,MATCH(D7,데이터베이스!D:D,0)))</xm:f>
            <x14:dxf>
              <font>
                <b/>
                <i val="0"/>
                <color theme="0"/>
              </font>
              <fill>
                <patternFill>
                  <bgColor rgb="FFFF0000"/>
                </patternFill>
              </fill>
            </x14:dxf>
          </x14:cfRule>
          <xm:sqref>F7:F81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xr:uid="{48018F31-917E-4B36-B816-74BE6AC3F237}">
          <x14:formula1>
            <xm:f>INDIRECT(VLOOKUP(LOOKUP(2,1/(B$7:B7&lt;&gt;""),B$7:B7), 데이터베이스!A:B, 2, FALSE) &amp; C7)</xm:f>
          </x14:formula1>
          <xm:sqref>D7:D81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980B-9AAF-4F9F-B320-0515406A1D92}">
  <dimension ref="A1"/>
  <sheetViews>
    <sheetView topLeftCell="A52" workbookViewId="0"/>
  </sheetViews>
  <sheetFormatPr defaultRowHeight="14.4" x14ac:dyDescent="0.25"/>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168"/>
  <sheetViews>
    <sheetView workbookViewId="0">
      <selection activeCell="B16" sqref="B16"/>
    </sheetView>
  </sheetViews>
  <sheetFormatPr defaultColWidth="8.796875" defaultRowHeight="13.2" x14ac:dyDescent="0.25"/>
  <cols>
    <col min="1" max="1" width="15.8984375" style="73" customWidth="1"/>
    <col min="2" max="3" width="10.59765625" style="73" customWidth="1"/>
    <col min="4" max="16384" width="8.796875" style="73"/>
  </cols>
  <sheetData>
    <row r="1" spans="1:39" ht="26.4" x14ac:dyDescent="0.25">
      <c r="A1" s="83" t="s">
        <v>3</v>
      </c>
      <c r="B1" s="84" t="s">
        <v>189</v>
      </c>
      <c r="C1" s="84" t="s">
        <v>237</v>
      </c>
      <c r="D1" s="71" t="s">
        <v>12</v>
      </c>
      <c r="E1" s="72" t="s">
        <v>199</v>
      </c>
      <c r="F1" s="72" t="s">
        <v>200</v>
      </c>
      <c r="G1" s="72" t="s">
        <v>201</v>
      </c>
      <c r="H1" s="72" t="s">
        <v>202</v>
      </c>
      <c r="I1" s="72" t="s">
        <v>203</v>
      </c>
      <c r="J1" s="72" t="s">
        <v>204</v>
      </c>
      <c r="K1" s="72" t="s">
        <v>205</v>
      </c>
      <c r="L1" s="72" t="s">
        <v>206</v>
      </c>
      <c r="M1" s="72" t="s">
        <v>207</v>
      </c>
      <c r="N1" s="72" t="s">
        <v>208</v>
      </c>
      <c r="O1" s="72" t="s">
        <v>209</v>
      </c>
      <c r="P1" s="72" t="s">
        <v>210</v>
      </c>
      <c r="Q1" s="72" t="s">
        <v>211</v>
      </c>
      <c r="R1" s="72" t="s">
        <v>212</v>
      </c>
      <c r="S1" s="72" t="s">
        <v>213</v>
      </c>
      <c r="T1" s="72" t="s">
        <v>214</v>
      </c>
      <c r="U1" s="72" t="s">
        <v>215</v>
      </c>
      <c r="V1" s="72" t="s">
        <v>216</v>
      </c>
      <c r="W1" s="72" t="s">
        <v>217</v>
      </c>
      <c r="X1" s="72" t="s">
        <v>218</v>
      </c>
      <c r="Y1" s="72" t="s">
        <v>219</v>
      </c>
      <c r="Z1" s="72" t="s">
        <v>220</v>
      </c>
      <c r="AA1" s="72" t="s">
        <v>221</v>
      </c>
      <c r="AB1" s="72" t="s">
        <v>222</v>
      </c>
      <c r="AC1" s="72" t="s">
        <v>223</v>
      </c>
      <c r="AD1" s="72" t="s">
        <v>224</v>
      </c>
      <c r="AE1" s="72" t="s">
        <v>225</v>
      </c>
      <c r="AF1" s="72" t="s">
        <v>226</v>
      </c>
      <c r="AG1" s="72" t="s">
        <v>227</v>
      </c>
      <c r="AH1" s="72" t="s">
        <v>228</v>
      </c>
      <c r="AI1" s="72" t="s">
        <v>229</v>
      </c>
      <c r="AJ1" s="72" t="s">
        <v>230</v>
      </c>
      <c r="AK1" s="72" t="s">
        <v>231</v>
      </c>
      <c r="AL1" s="72" t="s">
        <v>232</v>
      </c>
      <c r="AM1" s="72" t="s">
        <v>233</v>
      </c>
    </row>
    <row r="2" spans="1:39" x14ac:dyDescent="0.25">
      <c r="A2" s="83" t="s">
        <v>6</v>
      </c>
      <c r="B2" s="83" t="s">
        <v>190</v>
      </c>
      <c r="C2" s="83" t="s">
        <v>238</v>
      </c>
      <c r="D2" s="71" t="s">
        <v>15</v>
      </c>
      <c r="E2" s="74" t="s">
        <v>25</v>
      </c>
      <c r="F2" s="74" t="s">
        <v>54</v>
      </c>
      <c r="G2" s="74" t="s">
        <v>56</v>
      </c>
      <c r="H2" s="74" t="s">
        <v>57</v>
      </c>
      <c r="I2" s="74" t="s">
        <v>26</v>
      </c>
      <c r="J2" s="74" t="s">
        <v>52</v>
      </c>
      <c r="K2" s="74" t="s">
        <v>102</v>
      </c>
      <c r="L2" s="74" t="s">
        <v>59</v>
      </c>
      <c r="M2" s="74" t="s">
        <v>27</v>
      </c>
      <c r="N2" s="74" t="s">
        <v>53</v>
      </c>
      <c r="O2" s="74" t="s">
        <v>99</v>
      </c>
      <c r="P2" s="74" t="s">
        <v>61</v>
      </c>
      <c r="Q2" s="74" t="s">
        <v>111</v>
      </c>
      <c r="R2" s="74" t="s">
        <v>63</v>
      </c>
      <c r="S2" s="75" t="s">
        <v>138</v>
      </c>
      <c r="T2" s="74" t="s">
        <v>64</v>
      </c>
      <c r="U2" s="74" t="s">
        <v>115</v>
      </c>
      <c r="V2" s="74" t="s">
        <v>122</v>
      </c>
      <c r="W2" s="74" t="s">
        <v>65</v>
      </c>
      <c r="X2" s="74" t="s">
        <v>164</v>
      </c>
      <c r="Y2" s="75" t="s">
        <v>126</v>
      </c>
      <c r="Z2" s="74" t="s">
        <v>150</v>
      </c>
      <c r="AA2" s="74" t="s">
        <v>167</v>
      </c>
      <c r="AB2" s="74" t="s">
        <v>128</v>
      </c>
      <c r="AC2" s="74" t="s">
        <v>68</v>
      </c>
      <c r="AD2" s="74" t="s">
        <v>69</v>
      </c>
      <c r="AE2" s="74" t="s">
        <v>109</v>
      </c>
      <c r="AF2" s="74" t="s">
        <v>151</v>
      </c>
      <c r="AG2" s="74" t="s">
        <v>72</v>
      </c>
      <c r="AH2" s="74" t="s">
        <v>81</v>
      </c>
      <c r="AI2" s="75" t="s">
        <v>155</v>
      </c>
      <c r="AJ2" s="74" t="s">
        <v>171</v>
      </c>
      <c r="AK2" s="74" t="s">
        <v>74</v>
      </c>
      <c r="AL2" s="75" t="s">
        <v>86</v>
      </c>
      <c r="AM2" s="74" t="s">
        <v>88</v>
      </c>
    </row>
    <row r="3" spans="1:39" x14ac:dyDescent="0.25">
      <c r="A3" s="83" t="s">
        <v>7</v>
      </c>
      <c r="B3" s="83" t="s">
        <v>191</v>
      </c>
      <c r="C3" s="83" t="s">
        <v>238</v>
      </c>
      <c r="D3" s="71" t="s">
        <v>17</v>
      </c>
      <c r="E3" s="74" t="s">
        <v>29</v>
      </c>
      <c r="F3" s="74" t="s">
        <v>55</v>
      </c>
      <c r="G3" s="74" t="s">
        <v>75</v>
      </c>
      <c r="H3" s="74" t="s">
        <v>58</v>
      </c>
      <c r="I3" s="74" t="s">
        <v>32</v>
      </c>
      <c r="J3" s="74" t="s">
        <v>51</v>
      </c>
      <c r="K3" s="74" t="s">
        <v>103</v>
      </c>
      <c r="L3" s="74" t="s">
        <v>60</v>
      </c>
      <c r="M3" s="74" t="s">
        <v>38</v>
      </c>
      <c r="N3" s="75" t="s">
        <v>76</v>
      </c>
      <c r="O3" s="75" t="s">
        <v>77</v>
      </c>
      <c r="P3" s="74" t="s">
        <v>62</v>
      </c>
      <c r="Q3" s="74" t="s">
        <v>112</v>
      </c>
      <c r="R3" s="74" t="s">
        <v>119</v>
      </c>
      <c r="S3" s="74" t="s">
        <v>139</v>
      </c>
      <c r="T3" s="74" t="s">
        <v>159</v>
      </c>
      <c r="U3" s="74" t="s">
        <v>116</v>
      </c>
      <c r="V3" s="75" t="s">
        <v>123</v>
      </c>
      <c r="W3" s="74" t="s">
        <v>66</v>
      </c>
      <c r="X3" s="74" t="s">
        <v>165</v>
      </c>
      <c r="Y3" s="75" t="s">
        <v>127</v>
      </c>
      <c r="Z3" s="74" t="s">
        <v>106</v>
      </c>
      <c r="AA3" s="74" t="s">
        <v>168</v>
      </c>
      <c r="AB3" s="74" t="s">
        <v>79</v>
      </c>
      <c r="AC3" s="74" t="s">
        <v>70</v>
      </c>
      <c r="AD3" s="74" t="s">
        <v>45</v>
      </c>
      <c r="AE3" s="74" t="s">
        <v>46</v>
      </c>
      <c r="AF3" s="74" t="s">
        <v>152</v>
      </c>
      <c r="AG3" s="74" t="s">
        <v>73</v>
      </c>
      <c r="AH3" s="74" t="s">
        <v>129</v>
      </c>
      <c r="AI3" s="74" t="s">
        <v>156</v>
      </c>
      <c r="AJ3" s="74" t="s">
        <v>172</v>
      </c>
      <c r="AK3" s="74" t="s">
        <v>50</v>
      </c>
      <c r="AL3" s="74" t="s">
        <v>96</v>
      </c>
      <c r="AM3" s="74" t="s">
        <v>175</v>
      </c>
    </row>
    <row r="4" spans="1:39" x14ac:dyDescent="0.2">
      <c r="A4" s="83" t="s">
        <v>16</v>
      </c>
      <c r="B4" s="83" t="s">
        <v>192</v>
      </c>
      <c r="C4" s="83" t="s">
        <v>238</v>
      </c>
      <c r="D4" s="71" t="s">
        <v>19</v>
      </c>
      <c r="E4" s="76"/>
      <c r="F4" s="74" t="s">
        <v>28</v>
      </c>
      <c r="G4" s="74" t="s">
        <v>30</v>
      </c>
      <c r="H4" s="74" t="s">
        <v>31</v>
      </c>
      <c r="I4" s="74" t="s">
        <v>36</v>
      </c>
      <c r="J4" s="74" t="s">
        <v>33</v>
      </c>
      <c r="K4" s="74" t="s">
        <v>105</v>
      </c>
      <c r="L4" s="74" t="s">
        <v>35</v>
      </c>
      <c r="M4" s="74" t="s">
        <v>41</v>
      </c>
      <c r="N4" s="74" t="s">
        <v>39</v>
      </c>
      <c r="O4" s="75" t="s">
        <v>135</v>
      </c>
      <c r="P4" s="74" t="s">
        <v>40</v>
      </c>
      <c r="Q4" s="74" t="s">
        <v>113</v>
      </c>
      <c r="R4" s="74" t="s">
        <v>120</v>
      </c>
      <c r="S4" s="74" t="s">
        <v>140</v>
      </c>
      <c r="T4" s="74" t="s">
        <v>160</v>
      </c>
      <c r="U4" s="74" t="s">
        <v>117</v>
      </c>
      <c r="V4" s="74" t="s">
        <v>124</v>
      </c>
      <c r="W4" s="74" t="s">
        <v>67</v>
      </c>
      <c r="X4" s="74" t="s">
        <v>166</v>
      </c>
      <c r="Z4" s="74" t="s">
        <v>107</v>
      </c>
      <c r="AB4" s="74" t="s">
        <v>80</v>
      </c>
      <c r="AC4" s="74" t="s">
        <v>71</v>
      </c>
      <c r="AF4" s="75" t="s">
        <v>153</v>
      </c>
      <c r="AG4" s="74" t="s">
        <v>108</v>
      </c>
      <c r="AH4" s="74" t="s">
        <v>130</v>
      </c>
      <c r="AI4" s="75" t="s">
        <v>157</v>
      </c>
      <c r="AJ4" s="74" t="s">
        <v>173</v>
      </c>
      <c r="AL4" s="75" t="s">
        <v>87</v>
      </c>
    </row>
    <row r="5" spans="1:39" ht="26.4" x14ac:dyDescent="0.2">
      <c r="A5" s="84" t="s">
        <v>183</v>
      </c>
      <c r="B5" s="83" t="s">
        <v>193</v>
      </c>
      <c r="C5" s="83" t="s">
        <v>238</v>
      </c>
      <c r="D5" s="71" t="s">
        <v>110</v>
      </c>
      <c r="E5" s="76"/>
      <c r="F5" s="76"/>
      <c r="G5" s="76"/>
      <c r="H5" s="76"/>
      <c r="I5" s="74" t="s">
        <v>37</v>
      </c>
      <c r="J5" s="76"/>
      <c r="K5" s="74" t="s">
        <v>104</v>
      </c>
      <c r="L5" s="76"/>
      <c r="M5" s="74" t="s">
        <v>42</v>
      </c>
      <c r="N5" s="77"/>
      <c r="O5" s="74" t="s">
        <v>136</v>
      </c>
      <c r="P5" s="77"/>
      <c r="Q5" s="74" t="s">
        <v>114</v>
      </c>
      <c r="R5" s="74" t="s">
        <v>121</v>
      </c>
      <c r="S5" s="74" t="s">
        <v>141</v>
      </c>
      <c r="T5" s="74" t="s">
        <v>161</v>
      </c>
      <c r="U5" s="74" t="s">
        <v>118</v>
      </c>
      <c r="V5" s="75" t="s">
        <v>125</v>
      </c>
      <c r="W5" s="74" t="s">
        <v>145</v>
      </c>
      <c r="AC5" s="74" t="s">
        <v>44</v>
      </c>
      <c r="AF5" s="75" t="s">
        <v>154</v>
      </c>
      <c r="AG5" s="74" t="s">
        <v>169</v>
      </c>
      <c r="AH5" s="74" t="s">
        <v>131</v>
      </c>
      <c r="AI5" s="74" t="s">
        <v>158</v>
      </c>
      <c r="AJ5" s="74" t="s">
        <v>174</v>
      </c>
      <c r="AL5" s="74" t="s">
        <v>97</v>
      </c>
    </row>
    <row r="6" spans="1:39" x14ac:dyDescent="0.2">
      <c r="A6" s="83" t="s">
        <v>8</v>
      </c>
      <c r="B6" s="83" t="s">
        <v>194</v>
      </c>
      <c r="C6" s="83" t="s">
        <v>238</v>
      </c>
      <c r="E6" s="76"/>
      <c r="F6" s="76"/>
      <c r="G6" s="76"/>
      <c r="H6" s="76"/>
      <c r="I6" s="76"/>
      <c r="J6" s="76"/>
      <c r="K6" s="74" t="s">
        <v>34</v>
      </c>
      <c r="L6" s="76"/>
      <c r="M6" s="76"/>
      <c r="N6" s="76"/>
      <c r="O6" s="74" t="s">
        <v>137</v>
      </c>
      <c r="P6" s="77"/>
      <c r="S6" s="75" t="s">
        <v>142</v>
      </c>
      <c r="T6" s="74" t="s">
        <v>162</v>
      </c>
      <c r="W6" s="74" t="s">
        <v>146</v>
      </c>
      <c r="AG6" s="74" t="s">
        <v>170</v>
      </c>
      <c r="AH6" s="74" t="s">
        <v>132</v>
      </c>
      <c r="AI6" s="75" t="s">
        <v>82</v>
      </c>
      <c r="AJ6" s="74" t="s">
        <v>84</v>
      </c>
      <c r="AL6" s="75" t="s">
        <v>89</v>
      </c>
    </row>
    <row r="7" spans="1:39" x14ac:dyDescent="0.2">
      <c r="A7" s="83" t="s">
        <v>9</v>
      </c>
      <c r="B7" s="83" t="s">
        <v>195</v>
      </c>
      <c r="C7" s="83" t="s">
        <v>239</v>
      </c>
      <c r="E7" s="76"/>
      <c r="F7" s="76"/>
      <c r="G7" s="76"/>
      <c r="H7" s="76"/>
      <c r="I7" s="76"/>
      <c r="J7" s="76"/>
      <c r="K7" s="76"/>
      <c r="L7" s="76"/>
      <c r="M7" s="76"/>
      <c r="N7" s="76"/>
      <c r="O7" s="78"/>
      <c r="P7" s="77"/>
      <c r="S7" s="75" t="s">
        <v>143</v>
      </c>
      <c r="T7" s="74" t="s">
        <v>163</v>
      </c>
      <c r="W7" s="74" t="s">
        <v>147</v>
      </c>
      <c r="AH7" s="74" t="s">
        <v>133</v>
      </c>
      <c r="AI7" s="74" t="s">
        <v>91</v>
      </c>
      <c r="AJ7" s="74" t="s">
        <v>94</v>
      </c>
      <c r="AL7" s="74" t="s">
        <v>98</v>
      </c>
    </row>
    <row r="8" spans="1:39" x14ac:dyDescent="0.2">
      <c r="A8" s="83" t="s">
        <v>10</v>
      </c>
      <c r="B8" s="83" t="s">
        <v>196</v>
      </c>
      <c r="C8" s="83" t="s">
        <v>239</v>
      </c>
      <c r="E8" s="76"/>
      <c r="F8" s="76"/>
      <c r="G8" s="76"/>
      <c r="H8" s="76"/>
      <c r="I8" s="76"/>
      <c r="J8" s="76"/>
      <c r="K8" s="76"/>
      <c r="L8" s="76"/>
      <c r="M8" s="76"/>
      <c r="N8" s="76"/>
      <c r="O8" s="78"/>
      <c r="P8" s="76"/>
      <c r="S8" s="75" t="s">
        <v>144</v>
      </c>
      <c r="W8" s="74" t="s">
        <v>148</v>
      </c>
      <c r="AH8" s="74" t="s">
        <v>134</v>
      </c>
      <c r="AI8" s="75" t="s">
        <v>83</v>
      </c>
      <c r="AJ8" s="74" t="s">
        <v>85</v>
      </c>
    </row>
    <row r="9" spans="1:39" x14ac:dyDescent="0.2">
      <c r="A9" s="83" t="s">
        <v>186</v>
      </c>
      <c r="B9" s="83" t="s">
        <v>197</v>
      </c>
      <c r="C9" s="83" t="s">
        <v>239</v>
      </c>
      <c r="E9" s="76"/>
      <c r="F9" s="76"/>
      <c r="G9" s="76"/>
      <c r="H9" s="76"/>
      <c r="I9" s="76"/>
      <c r="J9" s="76"/>
      <c r="K9" s="76"/>
      <c r="L9" s="76"/>
      <c r="M9" s="76"/>
      <c r="N9" s="76"/>
      <c r="O9" s="77"/>
      <c r="P9" s="76"/>
      <c r="S9" s="74" t="s">
        <v>78</v>
      </c>
      <c r="W9" s="74" t="s">
        <v>149</v>
      </c>
      <c r="AH9" s="74" t="s">
        <v>90</v>
      </c>
      <c r="AI9" s="74" t="s">
        <v>92</v>
      </c>
      <c r="AJ9" s="74" t="s">
        <v>95</v>
      </c>
    </row>
    <row r="10" spans="1:39" x14ac:dyDescent="0.2">
      <c r="A10" s="83" t="s">
        <v>101</v>
      </c>
      <c r="B10" s="83" t="s">
        <v>198</v>
      </c>
      <c r="C10" s="83" t="s">
        <v>239</v>
      </c>
      <c r="E10" s="76"/>
      <c r="F10" s="76"/>
      <c r="G10" s="76"/>
      <c r="H10" s="76"/>
      <c r="I10" s="76"/>
      <c r="J10" s="76"/>
      <c r="K10" s="76"/>
      <c r="L10" s="76"/>
      <c r="M10" s="76"/>
      <c r="N10" s="76"/>
      <c r="O10" s="77"/>
      <c r="P10" s="76"/>
      <c r="S10" s="74" t="s">
        <v>43</v>
      </c>
      <c r="AH10" s="74" t="s">
        <v>47</v>
      </c>
      <c r="AI10" s="75" t="s">
        <v>176</v>
      </c>
      <c r="AJ10" s="74" t="s">
        <v>49</v>
      </c>
    </row>
    <row r="11" spans="1:39" x14ac:dyDescent="0.25">
      <c r="A11" s="83" t="s">
        <v>188</v>
      </c>
      <c r="B11" s="83" t="s">
        <v>100</v>
      </c>
      <c r="C11" s="83" t="s">
        <v>239</v>
      </c>
      <c r="AI11" s="74" t="s">
        <v>177</v>
      </c>
    </row>
    <row r="12" spans="1:39" x14ac:dyDescent="0.25">
      <c r="AI12" s="75" t="s">
        <v>178</v>
      </c>
    </row>
    <row r="13" spans="1:39" x14ac:dyDescent="0.25">
      <c r="D13" s="81" t="s">
        <v>234</v>
      </c>
      <c r="E13" s="81" t="s">
        <v>261</v>
      </c>
      <c r="F13" s="81" t="s">
        <v>235</v>
      </c>
      <c r="G13" s="81" t="s">
        <v>236</v>
      </c>
      <c r="J13" s="142" t="s">
        <v>244</v>
      </c>
      <c r="K13" s="143" t="s">
        <v>242</v>
      </c>
      <c r="AI13" s="74" t="s">
        <v>179</v>
      </c>
    </row>
    <row r="14" spans="1:39" x14ac:dyDescent="0.25">
      <c r="D14" s="79" t="s">
        <v>25</v>
      </c>
      <c r="E14" s="81">
        <v>4</v>
      </c>
      <c r="F14" s="81">
        <v>3</v>
      </c>
      <c r="G14" s="81">
        <v>4</v>
      </c>
      <c r="J14" s="142" t="s">
        <v>245</v>
      </c>
      <c r="K14" s="143" t="s">
        <v>253</v>
      </c>
      <c r="AI14" s="75" t="s">
        <v>180</v>
      </c>
    </row>
    <row r="15" spans="1:39" x14ac:dyDescent="0.25">
      <c r="D15" s="79" t="s">
        <v>29</v>
      </c>
      <c r="E15" s="81">
        <v>4</v>
      </c>
      <c r="F15" s="81">
        <v>3</v>
      </c>
      <c r="G15" s="81">
        <v>4</v>
      </c>
      <c r="J15" s="142" t="s">
        <v>246</v>
      </c>
      <c r="K15" s="143" t="s">
        <v>254</v>
      </c>
      <c r="AI15" s="74" t="s">
        <v>181</v>
      </c>
    </row>
    <row r="16" spans="1:39" x14ac:dyDescent="0.25">
      <c r="D16" s="79" t="s">
        <v>26</v>
      </c>
      <c r="E16" s="81">
        <v>4</v>
      </c>
      <c r="F16" s="81">
        <v>3</v>
      </c>
      <c r="G16" s="81">
        <v>4</v>
      </c>
      <c r="J16" s="142" t="s">
        <v>247</v>
      </c>
      <c r="K16" s="143" t="s">
        <v>255</v>
      </c>
      <c r="AI16" s="75" t="s">
        <v>182</v>
      </c>
    </row>
    <row r="17" spans="4:35" x14ac:dyDescent="0.25">
      <c r="D17" s="79" t="s">
        <v>32</v>
      </c>
      <c r="E17" s="81">
        <v>4</v>
      </c>
      <c r="F17" s="81">
        <v>3</v>
      </c>
      <c r="G17" s="81">
        <v>4</v>
      </c>
      <c r="J17" s="142" t="s">
        <v>248</v>
      </c>
      <c r="AI17" s="74" t="s">
        <v>93</v>
      </c>
    </row>
    <row r="18" spans="4:35" x14ac:dyDescent="0.25">
      <c r="D18" s="79" t="s">
        <v>36</v>
      </c>
      <c r="E18" s="81">
        <v>4</v>
      </c>
      <c r="F18" s="81">
        <v>3</v>
      </c>
      <c r="G18" s="81">
        <v>4</v>
      </c>
      <c r="J18" s="142" t="s">
        <v>249</v>
      </c>
      <c r="K18" s="177"/>
      <c r="AI18" s="74" t="s">
        <v>48</v>
      </c>
    </row>
    <row r="19" spans="4:35" x14ac:dyDescent="0.25">
      <c r="D19" s="79" t="s">
        <v>37</v>
      </c>
      <c r="E19" s="81">
        <v>4</v>
      </c>
      <c r="F19" s="81">
        <v>3</v>
      </c>
      <c r="G19" s="81">
        <v>4</v>
      </c>
      <c r="J19" s="142" t="s">
        <v>250</v>
      </c>
      <c r="K19" s="177"/>
    </row>
    <row r="20" spans="4:35" x14ac:dyDescent="0.25">
      <c r="D20" s="79" t="s">
        <v>27</v>
      </c>
      <c r="E20" s="81">
        <v>4</v>
      </c>
      <c r="F20" s="81">
        <v>3</v>
      </c>
      <c r="G20" s="81">
        <v>4</v>
      </c>
      <c r="J20" s="142" t="s">
        <v>251</v>
      </c>
      <c r="K20" s="177"/>
    </row>
    <row r="21" spans="4:35" x14ac:dyDescent="0.25">
      <c r="D21" s="79" t="s">
        <v>38</v>
      </c>
      <c r="E21" s="81">
        <v>4</v>
      </c>
      <c r="F21" s="81">
        <v>3</v>
      </c>
      <c r="G21" s="81">
        <v>4</v>
      </c>
      <c r="J21" s="142" t="s">
        <v>252</v>
      </c>
      <c r="K21" s="177"/>
    </row>
    <row r="22" spans="4:35" x14ac:dyDescent="0.25">
      <c r="D22" s="79" t="s">
        <v>41</v>
      </c>
      <c r="E22" s="81">
        <v>4</v>
      </c>
      <c r="F22" s="81">
        <v>3</v>
      </c>
      <c r="G22" s="81">
        <v>4</v>
      </c>
      <c r="J22" s="142"/>
      <c r="K22" s="178"/>
    </row>
    <row r="23" spans="4:35" x14ac:dyDescent="0.25">
      <c r="D23" s="79" t="s">
        <v>42</v>
      </c>
      <c r="E23" s="81">
        <v>4</v>
      </c>
      <c r="F23" s="81">
        <v>3</v>
      </c>
      <c r="G23" s="81">
        <v>4</v>
      </c>
    </row>
    <row r="24" spans="4:35" x14ac:dyDescent="0.25">
      <c r="D24" s="79" t="s">
        <v>111</v>
      </c>
      <c r="E24" s="81">
        <v>3</v>
      </c>
      <c r="F24" s="81">
        <v>3</v>
      </c>
      <c r="G24" s="81">
        <v>3</v>
      </c>
    </row>
    <row r="25" spans="4:35" x14ac:dyDescent="0.25">
      <c r="D25" s="79" t="s">
        <v>112</v>
      </c>
      <c r="E25" s="81">
        <v>3</v>
      </c>
      <c r="F25" s="81">
        <v>3</v>
      </c>
      <c r="G25" s="81">
        <v>3</v>
      </c>
    </row>
    <row r="26" spans="4:35" x14ac:dyDescent="0.25">
      <c r="D26" s="79" t="s">
        <v>113</v>
      </c>
      <c r="E26" s="81">
        <v>4</v>
      </c>
      <c r="F26" s="81">
        <v>3</v>
      </c>
      <c r="G26" s="81">
        <v>4</v>
      </c>
    </row>
    <row r="27" spans="4:35" x14ac:dyDescent="0.25">
      <c r="D27" s="79" t="s">
        <v>114</v>
      </c>
      <c r="E27" s="81">
        <v>4</v>
      </c>
      <c r="F27" s="81">
        <v>3</v>
      </c>
      <c r="G27" s="81">
        <v>4</v>
      </c>
    </row>
    <row r="28" spans="4:35" x14ac:dyDescent="0.25">
      <c r="D28" s="79" t="s">
        <v>115</v>
      </c>
      <c r="E28" s="81">
        <v>4</v>
      </c>
      <c r="F28" s="81">
        <v>3</v>
      </c>
      <c r="G28" s="81">
        <v>4</v>
      </c>
    </row>
    <row r="29" spans="4:35" x14ac:dyDescent="0.25">
      <c r="D29" s="79" t="s">
        <v>116</v>
      </c>
      <c r="E29" s="81">
        <v>4</v>
      </c>
      <c r="F29" s="81">
        <v>3</v>
      </c>
      <c r="G29" s="81">
        <v>4</v>
      </c>
    </row>
    <row r="30" spans="4:35" x14ac:dyDescent="0.25">
      <c r="D30" s="79" t="s">
        <v>117</v>
      </c>
      <c r="E30" s="81">
        <v>1</v>
      </c>
      <c r="F30" s="81">
        <v>1</v>
      </c>
      <c r="G30" s="81">
        <v>1</v>
      </c>
    </row>
    <row r="31" spans="4:35" x14ac:dyDescent="0.25">
      <c r="D31" s="79" t="s">
        <v>118</v>
      </c>
      <c r="E31" s="81">
        <v>1</v>
      </c>
      <c r="F31" s="81">
        <v>1</v>
      </c>
      <c r="G31" s="81">
        <v>1</v>
      </c>
    </row>
    <row r="32" spans="4:35" x14ac:dyDescent="0.25">
      <c r="D32" s="79" t="s">
        <v>54</v>
      </c>
      <c r="E32" s="81">
        <v>4</v>
      </c>
      <c r="F32" s="81">
        <v>3</v>
      </c>
      <c r="G32" s="81">
        <v>5</v>
      </c>
    </row>
    <row r="33" spans="4:7" x14ac:dyDescent="0.25">
      <c r="D33" s="79" t="s">
        <v>55</v>
      </c>
      <c r="E33" s="81">
        <v>4</v>
      </c>
      <c r="F33" s="81">
        <v>3</v>
      </c>
      <c r="G33" s="81">
        <v>5</v>
      </c>
    </row>
    <row r="34" spans="4:7" x14ac:dyDescent="0.25">
      <c r="D34" s="79" t="s">
        <v>28</v>
      </c>
      <c r="E34" s="81">
        <v>4</v>
      </c>
      <c r="F34" s="81">
        <v>3</v>
      </c>
      <c r="G34" s="81">
        <v>5</v>
      </c>
    </row>
    <row r="35" spans="4:7" x14ac:dyDescent="0.25">
      <c r="D35" s="79" t="s">
        <v>52</v>
      </c>
      <c r="E35" s="81">
        <v>4</v>
      </c>
      <c r="F35" s="81">
        <v>3</v>
      </c>
      <c r="G35" s="81">
        <v>5</v>
      </c>
    </row>
    <row r="36" spans="4:7" x14ac:dyDescent="0.25">
      <c r="D36" s="79" t="s">
        <v>51</v>
      </c>
      <c r="E36" s="81">
        <v>4</v>
      </c>
      <c r="F36" s="81">
        <v>3</v>
      </c>
      <c r="G36" s="81">
        <v>5</v>
      </c>
    </row>
    <row r="37" spans="4:7" x14ac:dyDescent="0.25">
      <c r="D37" s="79" t="s">
        <v>33</v>
      </c>
      <c r="E37" s="81">
        <v>4</v>
      </c>
      <c r="F37" s="81">
        <v>3</v>
      </c>
      <c r="G37" s="81">
        <v>5</v>
      </c>
    </row>
    <row r="38" spans="4:7" x14ac:dyDescent="0.25">
      <c r="D38" s="79" t="s">
        <v>53</v>
      </c>
      <c r="E38" s="81">
        <v>4</v>
      </c>
      <c r="F38" s="81">
        <v>3</v>
      </c>
      <c r="G38" s="81">
        <v>5</v>
      </c>
    </row>
    <row r="39" spans="4:7" x14ac:dyDescent="0.25">
      <c r="D39" s="80" t="s">
        <v>76</v>
      </c>
      <c r="E39" s="81">
        <v>4</v>
      </c>
      <c r="F39" s="81">
        <v>3</v>
      </c>
      <c r="G39" s="81">
        <v>5</v>
      </c>
    </row>
    <row r="40" spans="4:7" x14ac:dyDescent="0.25">
      <c r="D40" s="79" t="s">
        <v>39</v>
      </c>
      <c r="E40" s="81">
        <v>4</v>
      </c>
      <c r="F40" s="81">
        <v>3</v>
      </c>
      <c r="G40" s="81">
        <v>5</v>
      </c>
    </row>
    <row r="41" spans="4:7" x14ac:dyDescent="0.25">
      <c r="D41" s="79" t="s">
        <v>63</v>
      </c>
      <c r="E41" s="81">
        <v>4</v>
      </c>
      <c r="F41" s="81">
        <v>3</v>
      </c>
      <c r="G41" s="81">
        <v>5</v>
      </c>
    </row>
    <row r="42" spans="4:7" x14ac:dyDescent="0.25">
      <c r="D42" s="79" t="s">
        <v>119</v>
      </c>
      <c r="E42" s="81">
        <v>4</v>
      </c>
      <c r="F42" s="81">
        <v>3</v>
      </c>
      <c r="G42" s="81">
        <v>5</v>
      </c>
    </row>
    <row r="43" spans="4:7" x14ac:dyDescent="0.25">
      <c r="D43" s="79" t="s">
        <v>120</v>
      </c>
      <c r="E43" s="81">
        <v>4</v>
      </c>
      <c r="F43" s="81">
        <v>3</v>
      </c>
      <c r="G43" s="81">
        <v>5</v>
      </c>
    </row>
    <row r="44" spans="4:7" x14ac:dyDescent="0.25">
      <c r="D44" s="79" t="s">
        <v>121</v>
      </c>
      <c r="E44" s="81">
        <v>4</v>
      </c>
      <c r="F44" s="81">
        <v>3</v>
      </c>
      <c r="G44" s="81">
        <v>5</v>
      </c>
    </row>
    <row r="45" spans="4:7" x14ac:dyDescent="0.25">
      <c r="D45" s="79" t="s">
        <v>122</v>
      </c>
      <c r="E45" s="81">
        <v>4</v>
      </c>
      <c r="F45" s="81">
        <v>3</v>
      </c>
      <c r="G45" s="81">
        <v>5</v>
      </c>
    </row>
    <row r="46" spans="4:7" x14ac:dyDescent="0.25">
      <c r="D46" s="80" t="s">
        <v>123</v>
      </c>
      <c r="E46" s="81">
        <v>4</v>
      </c>
      <c r="F46" s="81">
        <v>3</v>
      </c>
      <c r="G46" s="81">
        <v>5</v>
      </c>
    </row>
    <row r="47" spans="4:7" x14ac:dyDescent="0.25">
      <c r="D47" s="79" t="s">
        <v>124</v>
      </c>
      <c r="E47" s="81">
        <v>4</v>
      </c>
      <c r="F47" s="81">
        <v>3</v>
      </c>
      <c r="G47" s="81">
        <v>5</v>
      </c>
    </row>
    <row r="48" spans="4:7" x14ac:dyDescent="0.25">
      <c r="D48" s="80" t="s">
        <v>125</v>
      </c>
      <c r="E48" s="81">
        <v>4</v>
      </c>
      <c r="F48" s="81">
        <v>3</v>
      </c>
      <c r="G48" s="81">
        <v>5</v>
      </c>
    </row>
    <row r="49" spans="4:7" x14ac:dyDescent="0.25">
      <c r="D49" s="80" t="s">
        <v>126</v>
      </c>
      <c r="E49" s="81">
        <v>3</v>
      </c>
      <c r="F49" s="81">
        <v>2</v>
      </c>
      <c r="G49" s="81">
        <v>4</v>
      </c>
    </row>
    <row r="50" spans="4:7" x14ac:dyDescent="0.25">
      <c r="D50" s="80" t="s">
        <v>127</v>
      </c>
      <c r="E50" s="81">
        <v>3</v>
      </c>
      <c r="F50" s="81">
        <v>2</v>
      </c>
      <c r="G50" s="81">
        <v>4</v>
      </c>
    </row>
    <row r="51" spans="4:7" x14ac:dyDescent="0.25">
      <c r="D51" s="79" t="s">
        <v>128</v>
      </c>
      <c r="E51" s="81">
        <v>3</v>
      </c>
      <c r="F51" s="81">
        <v>2</v>
      </c>
      <c r="G51" s="81">
        <v>4</v>
      </c>
    </row>
    <row r="52" spans="4:7" x14ac:dyDescent="0.25">
      <c r="D52" s="79" t="s">
        <v>79</v>
      </c>
      <c r="E52" s="81">
        <v>3</v>
      </c>
      <c r="F52" s="81">
        <v>2</v>
      </c>
      <c r="G52" s="81">
        <v>4</v>
      </c>
    </row>
    <row r="53" spans="4:7" x14ac:dyDescent="0.25">
      <c r="D53" s="79" t="s">
        <v>80</v>
      </c>
      <c r="E53" s="81">
        <v>3</v>
      </c>
      <c r="F53" s="81">
        <v>2</v>
      </c>
      <c r="G53" s="81">
        <v>4</v>
      </c>
    </row>
    <row r="54" spans="4:7" x14ac:dyDescent="0.25">
      <c r="D54" s="79" t="s">
        <v>109</v>
      </c>
      <c r="E54" s="81">
        <v>4</v>
      </c>
      <c r="F54" s="81">
        <v>3</v>
      </c>
      <c r="G54" s="81">
        <v>5</v>
      </c>
    </row>
    <row r="55" spans="4:7" x14ac:dyDescent="0.25">
      <c r="D55" s="79" t="s">
        <v>46</v>
      </c>
      <c r="E55" s="81">
        <v>4</v>
      </c>
      <c r="F55" s="81">
        <v>3</v>
      </c>
      <c r="G55" s="81">
        <v>5</v>
      </c>
    </row>
    <row r="56" spans="4:7" x14ac:dyDescent="0.25">
      <c r="D56" s="79" t="s">
        <v>81</v>
      </c>
      <c r="E56" s="81">
        <v>4</v>
      </c>
      <c r="F56" s="81">
        <v>3</v>
      </c>
      <c r="G56" s="81">
        <v>5</v>
      </c>
    </row>
    <row r="57" spans="4:7" x14ac:dyDescent="0.25">
      <c r="D57" s="79" t="s">
        <v>129</v>
      </c>
      <c r="E57" s="81">
        <v>4</v>
      </c>
      <c r="F57" s="81">
        <v>3</v>
      </c>
      <c r="G57" s="81">
        <v>5</v>
      </c>
    </row>
    <row r="58" spans="4:7" x14ac:dyDescent="0.25">
      <c r="D58" s="79" t="s">
        <v>130</v>
      </c>
      <c r="E58" s="81">
        <v>4</v>
      </c>
      <c r="F58" s="81">
        <v>3</v>
      </c>
      <c r="G58" s="81">
        <v>5</v>
      </c>
    </row>
    <row r="59" spans="4:7" x14ac:dyDescent="0.25">
      <c r="D59" s="79" t="s">
        <v>131</v>
      </c>
      <c r="E59" s="81">
        <v>4</v>
      </c>
      <c r="F59" s="81">
        <v>3</v>
      </c>
      <c r="G59" s="81">
        <v>5</v>
      </c>
    </row>
    <row r="60" spans="4:7" x14ac:dyDescent="0.25">
      <c r="D60" s="79" t="s">
        <v>132</v>
      </c>
      <c r="E60" s="81">
        <v>4</v>
      </c>
      <c r="F60" s="81">
        <v>3</v>
      </c>
      <c r="G60" s="81">
        <v>5</v>
      </c>
    </row>
    <row r="61" spans="4:7" x14ac:dyDescent="0.25">
      <c r="D61" s="79" t="s">
        <v>133</v>
      </c>
      <c r="E61" s="81">
        <v>4</v>
      </c>
      <c r="F61" s="81">
        <v>3</v>
      </c>
      <c r="G61" s="81">
        <v>5</v>
      </c>
    </row>
    <row r="62" spans="4:7" x14ac:dyDescent="0.25">
      <c r="D62" s="79" t="s">
        <v>134</v>
      </c>
      <c r="E62" s="81">
        <v>4</v>
      </c>
      <c r="F62" s="81">
        <v>3</v>
      </c>
      <c r="G62" s="81">
        <v>5</v>
      </c>
    </row>
    <row r="63" spans="4:7" x14ac:dyDescent="0.25">
      <c r="D63" s="79" t="s">
        <v>90</v>
      </c>
      <c r="E63" s="81">
        <v>4</v>
      </c>
      <c r="F63" s="81">
        <v>3</v>
      </c>
      <c r="G63" s="81">
        <v>5</v>
      </c>
    </row>
    <row r="64" spans="4:7" x14ac:dyDescent="0.25">
      <c r="D64" s="79" t="s">
        <v>47</v>
      </c>
      <c r="E64" s="81">
        <v>4</v>
      </c>
      <c r="F64" s="81">
        <v>3</v>
      </c>
      <c r="G64" s="81">
        <v>5</v>
      </c>
    </row>
    <row r="65" spans="4:7" x14ac:dyDescent="0.25">
      <c r="D65" s="79" t="s">
        <v>74</v>
      </c>
      <c r="E65" s="81">
        <v>3</v>
      </c>
      <c r="F65" s="81">
        <v>2</v>
      </c>
      <c r="G65" s="81">
        <v>4</v>
      </c>
    </row>
    <row r="66" spans="4:7" x14ac:dyDescent="0.25">
      <c r="D66" s="79" t="s">
        <v>50</v>
      </c>
      <c r="E66" s="81">
        <v>3</v>
      </c>
      <c r="F66" s="81">
        <v>2</v>
      </c>
      <c r="G66" s="81">
        <v>4</v>
      </c>
    </row>
    <row r="67" spans="4:7" x14ac:dyDescent="0.25">
      <c r="D67" s="79" t="s">
        <v>56</v>
      </c>
      <c r="E67" s="81">
        <v>4</v>
      </c>
      <c r="F67" s="81">
        <v>3</v>
      </c>
      <c r="G67" s="81">
        <v>5</v>
      </c>
    </row>
    <row r="68" spans="4:7" x14ac:dyDescent="0.25">
      <c r="D68" s="79" t="s">
        <v>75</v>
      </c>
      <c r="E68" s="81">
        <v>4</v>
      </c>
      <c r="F68" s="81">
        <v>3</v>
      </c>
      <c r="G68" s="81">
        <v>5</v>
      </c>
    </row>
    <row r="69" spans="4:7" x14ac:dyDescent="0.25">
      <c r="D69" s="79" t="s">
        <v>30</v>
      </c>
      <c r="E69" s="81">
        <v>4</v>
      </c>
      <c r="F69" s="81">
        <v>3</v>
      </c>
      <c r="G69" s="81">
        <v>5</v>
      </c>
    </row>
    <row r="70" spans="4:7" x14ac:dyDescent="0.25">
      <c r="D70" s="79" t="s">
        <v>102</v>
      </c>
      <c r="E70" s="81">
        <v>4</v>
      </c>
      <c r="F70" s="81">
        <v>3</v>
      </c>
      <c r="G70" s="81">
        <v>5</v>
      </c>
    </row>
    <row r="71" spans="4:7" x14ac:dyDescent="0.25">
      <c r="D71" s="79" t="s">
        <v>103</v>
      </c>
      <c r="E71" s="81">
        <v>4</v>
      </c>
      <c r="F71" s="81">
        <v>3</v>
      </c>
      <c r="G71" s="81">
        <v>5</v>
      </c>
    </row>
    <row r="72" spans="4:7" x14ac:dyDescent="0.25">
      <c r="D72" s="79" t="s">
        <v>105</v>
      </c>
      <c r="E72" s="81">
        <v>4</v>
      </c>
      <c r="F72" s="81">
        <v>3</v>
      </c>
      <c r="G72" s="81">
        <v>5</v>
      </c>
    </row>
    <row r="73" spans="4:7" x14ac:dyDescent="0.25">
      <c r="D73" s="79" t="s">
        <v>104</v>
      </c>
      <c r="E73" s="81">
        <v>4</v>
      </c>
      <c r="F73" s="81">
        <v>3</v>
      </c>
      <c r="G73" s="81">
        <v>5</v>
      </c>
    </row>
    <row r="74" spans="4:7" x14ac:dyDescent="0.25">
      <c r="D74" s="79" t="s">
        <v>34</v>
      </c>
      <c r="E74" s="81">
        <v>4</v>
      </c>
      <c r="F74" s="81">
        <v>3</v>
      </c>
      <c r="G74" s="81">
        <v>5</v>
      </c>
    </row>
    <row r="75" spans="4:7" x14ac:dyDescent="0.25">
      <c r="D75" s="79" t="s">
        <v>99</v>
      </c>
      <c r="E75" s="81">
        <v>4</v>
      </c>
      <c r="F75" s="81">
        <v>3</v>
      </c>
      <c r="G75" s="81">
        <v>5</v>
      </c>
    </row>
    <row r="76" spans="4:7" x14ac:dyDescent="0.25">
      <c r="D76" s="80" t="s">
        <v>77</v>
      </c>
      <c r="E76" s="81">
        <v>4</v>
      </c>
      <c r="F76" s="81">
        <v>3</v>
      </c>
      <c r="G76" s="81">
        <v>5</v>
      </c>
    </row>
    <row r="77" spans="4:7" x14ac:dyDescent="0.25">
      <c r="D77" s="80" t="s">
        <v>135</v>
      </c>
      <c r="E77" s="81">
        <v>4</v>
      </c>
      <c r="F77" s="81">
        <v>3</v>
      </c>
      <c r="G77" s="81">
        <v>5</v>
      </c>
    </row>
    <row r="78" spans="4:7" x14ac:dyDescent="0.25">
      <c r="D78" s="79" t="s">
        <v>136</v>
      </c>
      <c r="E78" s="81">
        <v>4</v>
      </c>
      <c r="F78" s="81">
        <v>3</v>
      </c>
      <c r="G78" s="81">
        <v>5</v>
      </c>
    </row>
    <row r="79" spans="4:7" x14ac:dyDescent="0.25">
      <c r="D79" s="79" t="s">
        <v>137</v>
      </c>
      <c r="E79" s="81">
        <v>4</v>
      </c>
      <c r="F79" s="81">
        <v>3</v>
      </c>
      <c r="G79" s="81">
        <v>5</v>
      </c>
    </row>
    <row r="80" spans="4:7" x14ac:dyDescent="0.25">
      <c r="D80" s="80" t="s">
        <v>138</v>
      </c>
      <c r="E80" s="81">
        <v>4</v>
      </c>
      <c r="F80" s="81">
        <v>3</v>
      </c>
      <c r="G80" s="81">
        <v>5</v>
      </c>
    </row>
    <row r="81" spans="4:7" x14ac:dyDescent="0.25">
      <c r="D81" s="79" t="s">
        <v>139</v>
      </c>
      <c r="E81" s="81">
        <v>4</v>
      </c>
      <c r="F81" s="81">
        <v>3</v>
      </c>
      <c r="G81" s="81">
        <v>5</v>
      </c>
    </row>
    <row r="82" spans="4:7" x14ac:dyDescent="0.25">
      <c r="D82" s="79" t="s">
        <v>140</v>
      </c>
      <c r="E82" s="81">
        <v>4</v>
      </c>
      <c r="F82" s="81">
        <v>3</v>
      </c>
      <c r="G82" s="81">
        <v>5</v>
      </c>
    </row>
    <row r="83" spans="4:7" x14ac:dyDescent="0.25">
      <c r="D83" s="79" t="s">
        <v>141</v>
      </c>
      <c r="E83" s="81">
        <v>4</v>
      </c>
      <c r="F83" s="81">
        <v>3</v>
      </c>
      <c r="G83" s="81">
        <v>5</v>
      </c>
    </row>
    <row r="84" spans="4:7" x14ac:dyDescent="0.25">
      <c r="D84" s="80" t="s">
        <v>142</v>
      </c>
      <c r="E84" s="81">
        <v>4</v>
      </c>
      <c r="F84" s="81">
        <v>3</v>
      </c>
      <c r="G84" s="81">
        <v>5</v>
      </c>
    </row>
    <row r="85" spans="4:7" x14ac:dyDescent="0.25">
      <c r="D85" s="80" t="s">
        <v>143</v>
      </c>
      <c r="E85" s="81">
        <v>4</v>
      </c>
      <c r="F85" s="81">
        <v>3</v>
      </c>
      <c r="G85" s="81">
        <v>5</v>
      </c>
    </row>
    <row r="86" spans="4:7" x14ac:dyDescent="0.25">
      <c r="D86" s="80" t="s">
        <v>144</v>
      </c>
      <c r="E86" s="81">
        <v>4</v>
      </c>
      <c r="F86" s="81">
        <v>3</v>
      </c>
      <c r="G86" s="81">
        <v>5</v>
      </c>
    </row>
    <row r="87" spans="4:7" x14ac:dyDescent="0.25">
      <c r="D87" s="79" t="s">
        <v>78</v>
      </c>
      <c r="E87" s="81">
        <v>4</v>
      </c>
      <c r="F87" s="81">
        <v>3</v>
      </c>
      <c r="G87" s="81">
        <v>5</v>
      </c>
    </row>
    <row r="88" spans="4:7" x14ac:dyDescent="0.25">
      <c r="D88" s="79" t="s">
        <v>43</v>
      </c>
      <c r="E88" s="81">
        <v>4</v>
      </c>
      <c r="F88" s="81">
        <v>3</v>
      </c>
      <c r="G88" s="81">
        <v>5</v>
      </c>
    </row>
    <row r="89" spans="4:7" x14ac:dyDescent="0.25">
      <c r="D89" s="79" t="s">
        <v>65</v>
      </c>
      <c r="E89" s="81">
        <v>4</v>
      </c>
      <c r="F89" s="81">
        <v>3</v>
      </c>
      <c r="G89" s="81">
        <v>5</v>
      </c>
    </row>
    <row r="90" spans="4:7" x14ac:dyDescent="0.25">
      <c r="D90" s="79" t="s">
        <v>66</v>
      </c>
      <c r="E90" s="81">
        <v>4</v>
      </c>
      <c r="F90" s="81">
        <v>3</v>
      </c>
      <c r="G90" s="81">
        <v>5</v>
      </c>
    </row>
    <row r="91" spans="4:7" x14ac:dyDescent="0.25">
      <c r="D91" s="79" t="s">
        <v>67</v>
      </c>
      <c r="E91" s="81">
        <v>4</v>
      </c>
      <c r="F91" s="81">
        <v>3</v>
      </c>
      <c r="G91" s="81">
        <v>5</v>
      </c>
    </row>
    <row r="92" spans="4:7" x14ac:dyDescent="0.25">
      <c r="D92" s="79" t="s">
        <v>145</v>
      </c>
      <c r="E92" s="81">
        <v>4</v>
      </c>
      <c r="F92" s="81">
        <v>3</v>
      </c>
      <c r="G92" s="81">
        <v>5</v>
      </c>
    </row>
    <row r="93" spans="4:7" x14ac:dyDescent="0.25">
      <c r="D93" s="79" t="s">
        <v>146</v>
      </c>
      <c r="E93" s="81">
        <v>4</v>
      </c>
      <c r="F93" s="81">
        <v>3</v>
      </c>
      <c r="G93" s="81">
        <v>5</v>
      </c>
    </row>
    <row r="94" spans="4:7" x14ac:dyDescent="0.25">
      <c r="D94" s="79" t="s">
        <v>147</v>
      </c>
      <c r="E94" s="81">
        <v>4</v>
      </c>
      <c r="F94" s="81">
        <v>3</v>
      </c>
      <c r="G94" s="81">
        <v>5</v>
      </c>
    </row>
    <row r="95" spans="4:7" x14ac:dyDescent="0.25">
      <c r="D95" s="79" t="s">
        <v>148</v>
      </c>
      <c r="E95" s="81">
        <v>4</v>
      </c>
      <c r="F95" s="81">
        <v>3</v>
      </c>
      <c r="G95" s="81">
        <v>5</v>
      </c>
    </row>
    <row r="96" spans="4:7" x14ac:dyDescent="0.25">
      <c r="D96" s="79" t="s">
        <v>149</v>
      </c>
      <c r="E96" s="81">
        <v>4</v>
      </c>
      <c r="F96" s="81">
        <v>3</v>
      </c>
      <c r="G96" s="81">
        <v>5</v>
      </c>
    </row>
    <row r="97" spans="4:7" x14ac:dyDescent="0.25">
      <c r="D97" s="79" t="s">
        <v>150</v>
      </c>
      <c r="E97" s="81">
        <v>3</v>
      </c>
      <c r="F97" s="81">
        <v>2</v>
      </c>
      <c r="G97" s="81">
        <v>4</v>
      </c>
    </row>
    <row r="98" spans="4:7" x14ac:dyDescent="0.25">
      <c r="D98" s="79" t="s">
        <v>106</v>
      </c>
      <c r="E98" s="82">
        <v>2</v>
      </c>
      <c r="F98" s="82">
        <v>1</v>
      </c>
      <c r="G98" s="82">
        <v>2</v>
      </c>
    </row>
    <row r="99" spans="4:7" x14ac:dyDescent="0.25">
      <c r="D99" s="79" t="s">
        <v>107</v>
      </c>
      <c r="E99" s="82">
        <v>2</v>
      </c>
      <c r="F99" s="82">
        <v>1</v>
      </c>
      <c r="G99" s="82">
        <v>2</v>
      </c>
    </row>
    <row r="100" spans="4:7" x14ac:dyDescent="0.25">
      <c r="D100" s="79" t="s">
        <v>68</v>
      </c>
      <c r="E100" s="81">
        <v>3</v>
      </c>
      <c r="F100" s="81">
        <v>2</v>
      </c>
      <c r="G100" s="81">
        <v>4</v>
      </c>
    </row>
    <row r="101" spans="4:7" x14ac:dyDescent="0.25">
      <c r="D101" s="79" t="s">
        <v>70</v>
      </c>
      <c r="E101" s="81">
        <v>3</v>
      </c>
      <c r="F101" s="81">
        <v>2</v>
      </c>
      <c r="G101" s="81">
        <v>4</v>
      </c>
    </row>
    <row r="102" spans="4:7" x14ac:dyDescent="0.25">
      <c r="D102" s="79" t="s">
        <v>71</v>
      </c>
      <c r="E102" s="81">
        <v>3</v>
      </c>
      <c r="F102" s="81">
        <v>2</v>
      </c>
      <c r="G102" s="81">
        <v>4</v>
      </c>
    </row>
    <row r="103" spans="4:7" x14ac:dyDescent="0.25">
      <c r="D103" s="79" t="s">
        <v>44</v>
      </c>
      <c r="E103" s="81">
        <v>3</v>
      </c>
      <c r="F103" s="81">
        <v>2</v>
      </c>
      <c r="G103" s="81">
        <v>4</v>
      </c>
    </row>
    <row r="104" spans="4:7" x14ac:dyDescent="0.25">
      <c r="D104" s="79" t="s">
        <v>151</v>
      </c>
      <c r="E104" s="81">
        <v>4</v>
      </c>
      <c r="F104" s="81">
        <v>3</v>
      </c>
      <c r="G104" s="81">
        <v>5</v>
      </c>
    </row>
    <row r="105" spans="4:7" x14ac:dyDescent="0.25">
      <c r="D105" s="79" t="s">
        <v>152</v>
      </c>
      <c r="E105" s="81">
        <v>4</v>
      </c>
      <c r="F105" s="81">
        <v>3</v>
      </c>
      <c r="G105" s="81">
        <v>5</v>
      </c>
    </row>
    <row r="106" spans="4:7" x14ac:dyDescent="0.25">
      <c r="D106" s="80" t="s">
        <v>153</v>
      </c>
      <c r="E106" s="81">
        <v>4</v>
      </c>
      <c r="F106" s="81">
        <v>3</v>
      </c>
      <c r="G106" s="81">
        <v>5</v>
      </c>
    </row>
    <row r="107" spans="4:7" x14ac:dyDescent="0.25">
      <c r="D107" s="80" t="s">
        <v>154</v>
      </c>
      <c r="E107" s="81">
        <v>4</v>
      </c>
      <c r="F107" s="81">
        <v>3</v>
      </c>
      <c r="G107" s="81">
        <v>5</v>
      </c>
    </row>
    <row r="108" spans="4:7" x14ac:dyDescent="0.25">
      <c r="D108" s="80" t="s">
        <v>155</v>
      </c>
      <c r="E108" s="81">
        <v>4</v>
      </c>
      <c r="F108" s="81">
        <v>3</v>
      </c>
      <c r="G108" s="81">
        <v>5</v>
      </c>
    </row>
    <row r="109" spans="4:7" x14ac:dyDescent="0.25">
      <c r="D109" s="79" t="s">
        <v>156</v>
      </c>
      <c r="E109" s="81">
        <v>4</v>
      </c>
      <c r="F109" s="81">
        <v>3</v>
      </c>
      <c r="G109" s="81">
        <v>5</v>
      </c>
    </row>
    <row r="110" spans="4:7" x14ac:dyDescent="0.25">
      <c r="D110" s="80" t="s">
        <v>157</v>
      </c>
      <c r="E110" s="81">
        <v>4</v>
      </c>
      <c r="F110" s="81">
        <v>3</v>
      </c>
      <c r="G110" s="81">
        <v>5</v>
      </c>
    </row>
    <row r="111" spans="4:7" x14ac:dyDescent="0.25">
      <c r="D111" s="79" t="s">
        <v>158</v>
      </c>
      <c r="E111" s="81">
        <v>4</v>
      </c>
      <c r="F111" s="81">
        <v>3</v>
      </c>
      <c r="G111" s="81">
        <v>5</v>
      </c>
    </row>
    <row r="112" spans="4:7" x14ac:dyDescent="0.25">
      <c r="D112" s="80" t="s">
        <v>82</v>
      </c>
      <c r="E112" s="81">
        <v>4</v>
      </c>
      <c r="F112" s="81">
        <v>3</v>
      </c>
      <c r="G112" s="81">
        <v>5</v>
      </c>
    </row>
    <row r="113" spans="4:7" x14ac:dyDescent="0.25">
      <c r="D113" s="79" t="s">
        <v>91</v>
      </c>
      <c r="E113" s="81">
        <v>4</v>
      </c>
      <c r="F113" s="81">
        <v>3</v>
      </c>
      <c r="G113" s="81">
        <v>5</v>
      </c>
    </row>
    <row r="114" spans="4:7" x14ac:dyDescent="0.25">
      <c r="D114" s="80" t="s">
        <v>83</v>
      </c>
      <c r="E114" s="81">
        <v>4</v>
      </c>
      <c r="F114" s="81">
        <v>3</v>
      </c>
      <c r="G114" s="81">
        <v>5</v>
      </c>
    </row>
    <row r="115" spans="4:7" x14ac:dyDescent="0.25">
      <c r="D115" s="79" t="s">
        <v>92</v>
      </c>
      <c r="E115" s="81">
        <v>4</v>
      </c>
      <c r="F115" s="81">
        <v>3</v>
      </c>
      <c r="G115" s="81">
        <v>5</v>
      </c>
    </row>
    <row r="116" spans="4:7" x14ac:dyDescent="0.25">
      <c r="D116" s="80" t="s">
        <v>176</v>
      </c>
      <c r="E116" s="81">
        <v>4</v>
      </c>
      <c r="F116" s="81">
        <v>3</v>
      </c>
      <c r="G116" s="81">
        <v>5</v>
      </c>
    </row>
    <row r="117" spans="4:7" x14ac:dyDescent="0.25">
      <c r="D117" s="79" t="s">
        <v>177</v>
      </c>
      <c r="E117" s="81">
        <v>4</v>
      </c>
      <c r="F117" s="81">
        <v>3</v>
      </c>
      <c r="G117" s="81">
        <v>5</v>
      </c>
    </row>
    <row r="118" spans="4:7" x14ac:dyDescent="0.25">
      <c r="D118" s="80" t="s">
        <v>178</v>
      </c>
      <c r="E118" s="81">
        <v>4</v>
      </c>
      <c r="F118" s="81">
        <v>3</v>
      </c>
      <c r="G118" s="81">
        <v>5</v>
      </c>
    </row>
    <row r="119" spans="4:7" x14ac:dyDescent="0.25">
      <c r="D119" s="79" t="s">
        <v>179</v>
      </c>
      <c r="E119" s="81">
        <v>4</v>
      </c>
      <c r="F119" s="81">
        <v>3</v>
      </c>
      <c r="G119" s="81">
        <v>5</v>
      </c>
    </row>
    <row r="120" spans="4:7" x14ac:dyDescent="0.25">
      <c r="D120" s="80" t="s">
        <v>180</v>
      </c>
      <c r="E120" s="81">
        <v>4</v>
      </c>
      <c r="F120" s="81">
        <v>3</v>
      </c>
      <c r="G120" s="81">
        <v>5</v>
      </c>
    </row>
    <row r="121" spans="4:7" x14ac:dyDescent="0.25">
      <c r="D121" s="79" t="s">
        <v>181</v>
      </c>
      <c r="E121" s="81">
        <v>4</v>
      </c>
      <c r="F121" s="81">
        <v>3</v>
      </c>
      <c r="G121" s="81">
        <v>5</v>
      </c>
    </row>
    <row r="122" spans="4:7" x14ac:dyDescent="0.25">
      <c r="D122" s="80" t="s">
        <v>182</v>
      </c>
      <c r="E122" s="81">
        <v>4</v>
      </c>
      <c r="F122" s="81">
        <v>3</v>
      </c>
      <c r="G122" s="81">
        <v>5</v>
      </c>
    </row>
    <row r="123" spans="4:7" x14ac:dyDescent="0.25">
      <c r="D123" s="79" t="s">
        <v>93</v>
      </c>
      <c r="E123" s="81">
        <v>4</v>
      </c>
      <c r="F123" s="81">
        <v>3</v>
      </c>
      <c r="G123" s="81">
        <v>5</v>
      </c>
    </row>
    <row r="124" spans="4:7" x14ac:dyDescent="0.25">
      <c r="D124" s="79" t="s">
        <v>48</v>
      </c>
      <c r="E124" s="81">
        <v>4</v>
      </c>
      <c r="F124" s="81">
        <v>3</v>
      </c>
      <c r="G124" s="81">
        <v>5</v>
      </c>
    </row>
    <row r="125" spans="4:7" x14ac:dyDescent="0.25">
      <c r="D125" s="80" t="s">
        <v>86</v>
      </c>
      <c r="E125" s="81">
        <v>3</v>
      </c>
      <c r="F125" s="81">
        <v>2</v>
      </c>
      <c r="G125" s="81">
        <v>4</v>
      </c>
    </row>
    <row r="126" spans="4:7" x14ac:dyDescent="0.25">
      <c r="D126" s="79" t="s">
        <v>96</v>
      </c>
      <c r="E126" s="81">
        <v>3</v>
      </c>
      <c r="F126" s="81">
        <v>2</v>
      </c>
      <c r="G126" s="81">
        <v>4</v>
      </c>
    </row>
    <row r="127" spans="4:7" x14ac:dyDescent="0.25">
      <c r="D127" s="80" t="s">
        <v>87</v>
      </c>
      <c r="E127" s="81">
        <v>3</v>
      </c>
      <c r="F127" s="81">
        <v>2</v>
      </c>
      <c r="G127" s="81">
        <v>4</v>
      </c>
    </row>
    <row r="128" spans="4:7" x14ac:dyDescent="0.25">
      <c r="D128" s="79" t="s">
        <v>97</v>
      </c>
      <c r="E128" s="81">
        <v>3</v>
      </c>
      <c r="F128" s="81">
        <v>2</v>
      </c>
      <c r="G128" s="81">
        <v>4</v>
      </c>
    </row>
    <row r="129" spans="4:7" x14ac:dyDescent="0.25">
      <c r="D129" s="80" t="s">
        <v>89</v>
      </c>
      <c r="E129" s="81">
        <v>3</v>
      </c>
      <c r="F129" s="81">
        <v>2</v>
      </c>
      <c r="G129" s="81">
        <v>4</v>
      </c>
    </row>
    <row r="130" spans="4:7" x14ac:dyDescent="0.25">
      <c r="D130" s="79" t="s">
        <v>98</v>
      </c>
      <c r="E130" s="81">
        <v>3</v>
      </c>
      <c r="F130" s="81">
        <v>2</v>
      </c>
      <c r="G130" s="81">
        <v>4</v>
      </c>
    </row>
    <row r="131" spans="4:7" x14ac:dyDescent="0.25">
      <c r="D131" s="79" t="s">
        <v>57</v>
      </c>
      <c r="E131" s="81">
        <v>4</v>
      </c>
      <c r="F131" s="81">
        <v>3</v>
      </c>
      <c r="G131" s="81">
        <v>5</v>
      </c>
    </row>
    <row r="132" spans="4:7" x14ac:dyDescent="0.25">
      <c r="D132" s="79" t="s">
        <v>58</v>
      </c>
      <c r="E132" s="81">
        <v>4</v>
      </c>
      <c r="F132" s="81">
        <v>3</v>
      </c>
      <c r="G132" s="81">
        <v>5</v>
      </c>
    </row>
    <row r="133" spans="4:7" x14ac:dyDescent="0.25">
      <c r="D133" s="79" t="s">
        <v>31</v>
      </c>
      <c r="E133" s="81">
        <v>4</v>
      </c>
      <c r="F133" s="81">
        <v>3</v>
      </c>
      <c r="G133" s="81">
        <v>5</v>
      </c>
    </row>
    <row r="134" spans="4:7" x14ac:dyDescent="0.25">
      <c r="D134" s="79" t="s">
        <v>59</v>
      </c>
      <c r="E134" s="81">
        <v>4</v>
      </c>
      <c r="F134" s="81">
        <v>3</v>
      </c>
      <c r="G134" s="81">
        <v>5</v>
      </c>
    </row>
    <row r="135" spans="4:7" x14ac:dyDescent="0.25">
      <c r="D135" s="79" t="s">
        <v>60</v>
      </c>
      <c r="E135" s="81">
        <v>4</v>
      </c>
      <c r="F135" s="81">
        <v>3</v>
      </c>
      <c r="G135" s="81">
        <v>5</v>
      </c>
    </row>
    <row r="136" spans="4:7" x14ac:dyDescent="0.25">
      <c r="D136" s="79" t="s">
        <v>35</v>
      </c>
      <c r="E136" s="81">
        <v>4</v>
      </c>
      <c r="F136" s="81">
        <v>3</v>
      </c>
      <c r="G136" s="81">
        <v>5</v>
      </c>
    </row>
    <row r="137" spans="4:7" x14ac:dyDescent="0.25">
      <c r="D137" s="79" t="s">
        <v>61</v>
      </c>
      <c r="E137" s="81">
        <v>4</v>
      </c>
      <c r="F137" s="81">
        <v>3</v>
      </c>
      <c r="G137" s="81">
        <v>5</v>
      </c>
    </row>
    <row r="138" spans="4:7" x14ac:dyDescent="0.25">
      <c r="D138" s="79" t="s">
        <v>62</v>
      </c>
      <c r="E138" s="81">
        <v>4</v>
      </c>
      <c r="F138" s="81">
        <v>3</v>
      </c>
      <c r="G138" s="81">
        <v>5</v>
      </c>
    </row>
    <row r="139" spans="4:7" x14ac:dyDescent="0.25">
      <c r="D139" s="79" t="s">
        <v>40</v>
      </c>
      <c r="E139" s="81">
        <v>4</v>
      </c>
      <c r="F139" s="81">
        <v>3</v>
      </c>
      <c r="G139" s="81">
        <v>5</v>
      </c>
    </row>
    <row r="140" spans="4:7" x14ac:dyDescent="0.25">
      <c r="D140" s="79" t="s">
        <v>64</v>
      </c>
      <c r="E140" s="81">
        <v>4</v>
      </c>
      <c r="F140" s="81">
        <v>3</v>
      </c>
      <c r="G140" s="81">
        <v>5</v>
      </c>
    </row>
    <row r="141" spans="4:7" x14ac:dyDescent="0.25">
      <c r="D141" s="79" t="s">
        <v>159</v>
      </c>
      <c r="E141" s="81">
        <v>4</v>
      </c>
      <c r="F141" s="81">
        <v>3</v>
      </c>
      <c r="G141" s="81">
        <v>5</v>
      </c>
    </row>
    <row r="142" spans="4:7" x14ac:dyDescent="0.25">
      <c r="D142" s="79" t="s">
        <v>160</v>
      </c>
      <c r="E142" s="81">
        <v>4</v>
      </c>
      <c r="F142" s="81">
        <v>3</v>
      </c>
      <c r="G142" s="81">
        <v>5</v>
      </c>
    </row>
    <row r="143" spans="4:7" x14ac:dyDescent="0.25">
      <c r="D143" s="79" t="s">
        <v>161</v>
      </c>
      <c r="E143" s="81">
        <v>4</v>
      </c>
      <c r="F143" s="81">
        <v>3</v>
      </c>
      <c r="G143" s="81">
        <v>5</v>
      </c>
    </row>
    <row r="144" spans="4:7" x14ac:dyDescent="0.25">
      <c r="D144" s="79" t="s">
        <v>162</v>
      </c>
      <c r="E144" s="81">
        <v>4</v>
      </c>
      <c r="F144" s="81">
        <v>3</v>
      </c>
      <c r="G144" s="81">
        <v>5</v>
      </c>
    </row>
    <row r="145" spans="4:7" x14ac:dyDescent="0.25">
      <c r="D145" s="79" t="s">
        <v>163</v>
      </c>
      <c r="E145" s="81">
        <v>4</v>
      </c>
      <c r="F145" s="81">
        <v>3</v>
      </c>
      <c r="G145" s="81">
        <v>5</v>
      </c>
    </row>
    <row r="146" spans="4:7" x14ac:dyDescent="0.25">
      <c r="D146" s="79" t="s">
        <v>164</v>
      </c>
      <c r="E146" s="81">
        <v>4</v>
      </c>
      <c r="F146" s="81">
        <v>3</v>
      </c>
      <c r="G146" s="81">
        <v>5</v>
      </c>
    </row>
    <row r="147" spans="4:7" x14ac:dyDescent="0.25">
      <c r="D147" s="79" t="s">
        <v>165</v>
      </c>
      <c r="E147" s="81">
        <v>4</v>
      </c>
      <c r="F147" s="81">
        <v>3</v>
      </c>
      <c r="G147" s="81">
        <v>5</v>
      </c>
    </row>
    <row r="148" spans="4:7" x14ac:dyDescent="0.25">
      <c r="D148" s="79" t="s">
        <v>166</v>
      </c>
      <c r="E148" s="81">
        <v>4</v>
      </c>
      <c r="F148" s="81">
        <v>3</v>
      </c>
      <c r="G148" s="81">
        <v>5</v>
      </c>
    </row>
    <row r="149" spans="4:7" x14ac:dyDescent="0.25">
      <c r="D149" s="79" t="s">
        <v>167</v>
      </c>
      <c r="E149" s="81">
        <v>3</v>
      </c>
      <c r="F149" s="81">
        <v>2</v>
      </c>
      <c r="G149" s="81">
        <v>4</v>
      </c>
    </row>
    <row r="150" spans="4:7" x14ac:dyDescent="0.25">
      <c r="D150" s="79" t="s">
        <v>168</v>
      </c>
      <c r="E150" s="81">
        <v>3</v>
      </c>
      <c r="F150" s="81">
        <v>2</v>
      </c>
      <c r="G150" s="81">
        <v>4</v>
      </c>
    </row>
    <row r="151" spans="4:7" x14ac:dyDescent="0.25">
      <c r="D151" s="79" t="s">
        <v>69</v>
      </c>
      <c r="E151" s="81">
        <v>3</v>
      </c>
      <c r="F151" s="81">
        <v>2</v>
      </c>
      <c r="G151" s="81">
        <v>4</v>
      </c>
    </row>
    <row r="152" spans="4:7" x14ac:dyDescent="0.25">
      <c r="D152" s="79" t="s">
        <v>45</v>
      </c>
      <c r="E152" s="81">
        <v>3</v>
      </c>
      <c r="F152" s="81">
        <v>2</v>
      </c>
      <c r="G152" s="81">
        <v>4</v>
      </c>
    </row>
    <row r="153" spans="4:7" x14ac:dyDescent="0.25">
      <c r="D153" s="79" t="s">
        <v>72</v>
      </c>
      <c r="E153" s="81">
        <v>4</v>
      </c>
      <c r="F153" s="81">
        <v>3</v>
      </c>
      <c r="G153" s="81">
        <v>5</v>
      </c>
    </row>
    <row r="154" spans="4:7" x14ac:dyDescent="0.25">
      <c r="D154" s="79" t="s">
        <v>73</v>
      </c>
      <c r="E154" s="81">
        <v>4</v>
      </c>
      <c r="F154" s="81">
        <v>3</v>
      </c>
      <c r="G154" s="81">
        <v>5</v>
      </c>
    </row>
    <row r="155" spans="4:7" x14ac:dyDescent="0.25">
      <c r="D155" s="79" t="s">
        <v>108</v>
      </c>
      <c r="E155" s="82">
        <v>2</v>
      </c>
      <c r="F155" s="82">
        <v>1</v>
      </c>
      <c r="G155" s="82">
        <v>2</v>
      </c>
    </row>
    <row r="156" spans="4:7" x14ac:dyDescent="0.25">
      <c r="D156" s="79" t="s">
        <v>169</v>
      </c>
      <c r="E156" s="81">
        <v>4</v>
      </c>
      <c r="F156" s="81">
        <v>3</v>
      </c>
      <c r="G156" s="81">
        <v>5</v>
      </c>
    </row>
    <row r="157" spans="4:7" x14ac:dyDescent="0.25">
      <c r="D157" s="79" t="s">
        <v>170</v>
      </c>
      <c r="E157" s="81">
        <v>4</v>
      </c>
      <c r="F157" s="81">
        <v>3</v>
      </c>
      <c r="G157" s="81">
        <v>5</v>
      </c>
    </row>
    <row r="158" spans="4:7" x14ac:dyDescent="0.25">
      <c r="D158" s="79" t="s">
        <v>171</v>
      </c>
      <c r="E158" s="81">
        <v>4</v>
      </c>
      <c r="F158" s="81">
        <v>3</v>
      </c>
      <c r="G158" s="81">
        <v>5</v>
      </c>
    </row>
    <row r="159" spans="4:7" x14ac:dyDescent="0.25">
      <c r="D159" s="79" t="s">
        <v>172</v>
      </c>
      <c r="E159" s="81">
        <v>4</v>
      </c>
      <c r="F159" s="81">
        <v>3</v>
      </c>
      <c r="G159" s="81">
        <v>5</v>
      </c>
    </row>
    <row r="160" spans="4:7" x14ac:dyDescent="0.25">
      <c r="D160" s="79" t="s">
        <v>173</v>
      </c>
      <c r="E160" s="81">
        <v>4</v>
      </c>
      <c r="F160" s="81">
        <v>3</v>
      </c>
      <c r="G160" s="81">
        <v>5</v>
      </c>
    </row>
    <row r="161" spans="4:7" x14ac:dyDescent="0.25">
      <c r="D161" s="79" t="s">
        <v>174</v>
      </c>
      <c r="E161" s="81">
        <v>4</v>
      </c>
      <c r="F161" s="81">
        <v>3</v>
      </c>
      <c r="G161" s="81">
        <v>5</v>
      </c>
    </row>
    <row r="162" spans="4:7" x14ac:dyDescent="0.25">
      <c r="D162" s="79" t="s">
        <v>84</v>
      </c>
      <c r="E162" s="81">
        <v>4</v>
      </c>
      <c r="F162" s="81">
        <v>3</v>
      </c>
      <c r="G162" s="81">
        <v>5</v>
      </c>
    </row>
    <row r="163" spans="4:7" x14ac:dyDescent="0.25">
      <c r="D163" s="79" t="s">
        <v>94</v>
      </c>
      <c r="E163" s="81">
        <v>4</v>
      </c>
      <c r="F163" s="81">
        <v>3</v>
      </c>
      <c r="G163" s="81">
        <v>5</v>
      </c>
    </row>
    <row r="164" spans="4:7" x14ac:dyDescent="0.25">
      <c r="D164" s="79" t="s">
        <v>85</v>
      </c>
      <c r="E164" s="81">
        <v>4</v>
      </c>
      <c r="F164" s="81">
        <v>3</v>
      </c>
      <c r="G164" s="81">
        <v>5</v>
      </c>
    </row>
    <row r="165" spans="4:7" x14ac:dyDescent="0.25">
      <c r="D165" s="79" t="s">
        <v>95</v>
      </c>
      <c r="E165" s="81">
        <v>4</v>
      </c>
      <c r="F165" s="81">
        <v>3</v>
      </c>
      <c r="G165" s="81">
        <v>5</v>
      </c>
    </row>
    <row r="166" spans="4:7" x14ac:dyDescent="0.25">
      <c r="D166" s="79" t="s">
        <v>49</v>
      </c>
      <c r="E166" s="81">
        <v>4</v>
      </c>
      <c r="F166" s="81">
        <v>3</v>
      </c>
      <c r="G166" s="81">
        <v>5</v>
      </c>
    </row>
    <row r="167" spans="4:7" x14ac:dyDescent="0.25">
      <c r="D167" s="79" t="s">
        <v>88</v>
      </c>
      <c r="E167" s="81">
        <v>3</v>
      </c>
      <c r="F167" s="81">
        <v>2</v>
      </c>
      <c r="G167" s="81">
        <v>4</v>
      </c>
    </row>
    <row r="168" spans="4:7" x14ac:dyDescent="0.25">
      <c r="D168" s="79" t="s">
        <v>175</v>
      </c>
      <c r="E168" s="81">
        <v>3</v>
      </c>
      <c r="F168" s="81">
        <v>2</v>
      </c>
      <c r="G168" s="81">
        <v>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45</vt:i4>
      </vt:variant>
    </vt:vector>
  </HeadingPairs>
  <TitlesOfParts>
    <vt:vector size="48" baseType="lpstr">
      <vt:lpstr>2026입학생(과학중점과정)</vt:lpstr>
      <vt:lpstr>배당표 작성 요령</vt:lpstr>
      <vt:lpstr>데이터베이스</vt:lpstr>
      <vt:lpstr>'2026입학생(과학중점과정)'!Print_Area</vt:lpstr>
      <vt:lpstr>'2026입학생(과학중점과정)'!Print_Titles</vt:lpstr>
      <vt:lpstr>과목개설유형</vt:lpstr>
      <vt:lpstr>과목유형</vt:lpstr>
      <vt:lpstr>과목유형2</vt:lpstr>
      <vt:lpstr>과학공통</vt:lpstr>
      <vt:lpstr>과학융합</vt:lpstr>
      <vt:lpstr>과학일반</vt:lpstr>
      <vt:lpstr>과학진로</vt:lpstr>
      <vt:lpstr>교과군</vt:lpstr>
      <vt:lpstr>교양융합</vt:lpstr>
      <vt:lpstr>교양일반</vt:lpstr>
      <vt:lpstr>교양진로</vt:lpstr>
      <vt:lpstr>국어공통</vt:lpstr>
      <vt:lpstr>국어융합</vt:lpstr>
      <vt:lpstr>국어일반</vt:lpstr>
      <vt:lpstr>국어진로</vt:lpstr>
      <vt:lpstr>기가정융합</vt:lpstr>
      <vt:lpstr>기가정일반</vt:lpstr>
      <vt:lpstr>기가정진로</vt:lpstr>
      <vt:lpstr>기본학점</vt:lpstr>
      <vt:lpstr>비고</vt:lpstr>
      <vt:lpstr>사회공통</vt:lpstr>
      <vt:lpstr>사회융합</vt:lpstr>
      <vt:lpstr>사회일반</vt:lpstr>
      <vt:lpstr>사회진로</vt:lpstr>
      <vt:lpstr>수학공통</vt:lpstr>
      <vt:lpstr>수학융합</vt:lpstr>
      <vt:lpstr>수학일반</vt:lpstr>
      <vt:lpstr>수학진로</vt:lpstr>
      <vt:lpstr>영어공통</vt:lpstr>
      <vt:lpstr>영어융합</vt:lpstr>
      <vt:lpstr>영어일반</vt:lpstr>
      <vt:lpstr>영어진로</vt:lpstr>
      <vt:lpstr>예술융합</vt:lpstr>
      <vt:lpstr>예술일반</vt:lpstr>
      <vt:lpstr>예술진로</vt:lpstr>
      <vt:lpstr>외한융합</vt:lpstr>
      <vt:lpstr>외한일반</vt:lpstr>
      <vt:lpstr>외한진로</vt:lpstr>
      <vt:lpstr>운영학점</vt:lpstr>
      <vt:lpstr>입력용교과군</vt:lpstr>
      <vt:lpstr>체육융합</vt:lpstr>
      <vt:lpstr>체육일반</vt:lpstr>
      <vt:lpstr>체육진로</vt:lpstr>
    </vt:vector>
  </TitlesOfParts>
  <Company>kk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kkk</dc:creator>
  <cp:lastModifiedBy>김연희</cp:lastModifiedBy>
  <cp:lastPrinted>2025-10-27T23:06:35Z</cp:lastPrinted>
  <dcterms:created xsi:type="dcterms:W3CDTF">2002-10-10T04:04:10Z</dcterms:created>
  <dcterms:modified xsi:type="dcterms:W3CDTF">2026-08-17T02:05:21Z</dcterms:modified>
</cp:coreProperties>
</file>