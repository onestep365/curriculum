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yeonh\Downloads\"/>
    </mc:Choice>
  </mc:AlternateContent>
  <xr:revisionPtr revIDLastSave="0" documentId="13_ncr:1_{3562F5CB-8519-4718-A54B-FB216D895840}" xr6:coauthVersionLast="47" xr6:coauthVersionMax="47" xr10:uidLastSave="{00000000-0000-0000-0000-000000000000}"/>
  <bookViews>
    <workbookView xWindow="-108" yWindow="-108" windowWidth="23256" windowHeight="12456" tabRatio="681" xr2:uid="{00000000-000D-0000-FFFF-FFFF00000000}"/>
  </bookViews>
  <sheets>
    <sheet name="2026입학생 (과학중점과정)" sheetId="40" r:id="rId1"/>
    <sheet name="배당표 작성 요령" sheetId="48" r:id="rId2"/>
    <sheet name="데이터베이스" sheetId="47" state="hidden" r:id="rId3"/>
  </sheets>
  <definedNames>
    <definedName name="_xlnm.Print_Area" localSheetId="0">'2026입학생 (과학중점과정)'!$A$1:$P$86</definedName>
    <definedName name="_xlnm.Print_Titles" localSheetId="0">'2026입학생 (과학중점과정)'!$3:$5</definedName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9" i="40" l="1"/>
  <c r="E41" i="40" l="1"/>
  <c r="E69" i="40" l="1"/>
  <c r="E70" i="40"/>
  <c r="E61" i="40"/>
  <c r="E56" i="40" l="1"/>
  <c r="E55" i="40"/>
  <c r="E54" i="40"/>
  <c r="E53" i="40"/>
  <c r="E52" i="40"/>
  <c r="E51" i="40"/>
  <c r="E50" i="40"/>
  <c r="E79" i="40"/>
  <c r="E78" i="40"/>
  <c r="E76" i="40"/>
  <c r="E75" i="40"/>
  <c r="E74" i="40"/>
  <c r="E73" i="40"/>
  <c r="E72" i="40"/>
  <c r="E71" i="40"/>
  <c r="E42" i="40"/>
  <c r="E43" i="40"/>
  <c r="E44" i="40"/>
  <c r="E45" i="40"/>
  <c r="E46" i="40"/>
  <c r="E47" i="40"/>
  <c r="E48" i="40"/>
  <c r="E57" i="40"/>
  <c r="E58" i="40"/>
  <c r="E59" i="40"/>
  <c r="E63" i="40"/>
  <c r="E64" i="40"/>
  <c r="E65" i="40"/>
  <c r="E66" i="40"/>
  <c r="E67" i="40"/>
  <c r="E68" i="40"/>
  <c r="E28" i="40"/>
  <c r="E37" i="40" l="1"/>
  <c r="E30" i="40"/>
  <c r="E31" i="40"/>
  <c r="E21" i="40"/>
  <c r="E22" i="40"/>
  <c r="E15" i="40"/>
  <c r="E16" i="40"/>
  <c r="E9" i="40"/>
  <c r="E10" i="40"/>
  <c r="E29" i="40" l="1"/>
  <c r="E7" i="40" l="1"/>
  <c r="O39" i="40"/>
  <c r="O33" i="40"/>
  <c r="E34" i="40"/>
  <c r="E36" i="40"/>
  <c r="O29" i="40"/>
  <c r="O27" i="40"/>
  <c r="O25" i="40"/>
  <c r="O19" i="40"/>
  <c r="E20" i="40"/>
  <c r="O13" i="40"/>
  <c r="O7" i="40"/>
  <c r="E8" i="40" l="1"/>
  <c r="E11" i="40" l="1"/>
  <c r="E12" i="40"/>
  <c r="E13" i="40"/>
  <c r="E14" i="40"/>
  <c r="E17" i="40"/>
  <c r="E18" i="40"/>
  <c r="E19" i="40"/>
  <c r="E23" i="40"/>
  <c r="E24" i="40"/>
  <c r="E25" i="40"/>
  <c r="E26" i="40"/>
  <c r="E27" i="40"/>
  <c r="E32" i="40"/>
  <c r="E33" i="40"/>
  <c r="E35" i="40"/>
  <c r="E38" i="40"/>
  <c r="E39" i="40"/>
  <c r="E40" i="40"/>
  <c r="L83" i="40" l="1"/>
  <c r="K83" i="40"/>
  <c r="J83" i="40"/>
  <c r="I83" i="40"/>
  <c r="H83" i="40"/>
  <c r="G83" i="40" l="1"/>
  <c r="K85" i="40"/>
  <c r="I85" i="40"/>
  <c r="G85" i="4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" authorId="0" shapeId="0" xr:uid="{1A0500F8-BF58-40DC-99B1-649F3F28527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수식이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지워진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활용</t>
        </r>
        <r>
          <rPr>
            <sz val="9"/>
            <color indexed="81"/>
            <rFont val="Tahoma"/>
            <family val="2"/>
          </rPr>
          <t xml:space="preserve">
=IFERROR(VLOOKUP(D7, </t>
        </r>
        <r>
          <rPr>
            <sz val="9"/>
            <color indexed="81"/>
            <rFont val="돋움"/>
            <family val="3"/>
            <charset val="129"/>
          </rPr>
          <t>기본학점</t>
        </r>
        <r>
          <rPr>
            <sz val="9"/>
            <color indexed="81"/>
            <rFont val="Tahoma"/>
            <family val="2"/>
          </rPr>
          <t xml:space="preserve">, 2, FALSE), "")
</t>
        </r>
      </text>
    </comment>
  </commentList>
</comments>
</file>

<file path=xl/sharedStrings.xml><?xml version="1.0" encoding="utf-8"?>
<sst xmlns="http://schemas.openxmlformats.org/spreadsheetml/2006/main" count="619" uniqueCount="317">
  <si>
    <t>2학년</t>
  </si>
  <si>
    <t>3학년</t>
  </si>
  <si>
    <t>1학기</t>
    <phoneticPr fontId="1" type="noConversion"/>
  </si>
  <si>
    <t>교과(군)</t>
    <phoneticPr fontId="1" type="noConversion"/>
  </si>
  <si>
    <t>1학년</t>
    <phoneticPr fontId="1" type="noConversion"/>
  </si>
  <si>
    <t>창의적 체험활동</t>
    <phoneticPr fontId="1" type="noConversion"/>
  </si>
  <si>
    <t>국 어</t>
    <phoneticPr fontId="1" type="noConversion"/>
  </si>
  <si>
    <t>수 학</t>
    <phoneticPr fontId="1" type="noConversion"/>
  </si>
  <si>
    <t>과 학</t>
    <phoneticPr fontId="1" type="noConversion"/>
  </si>
  <si>
    <t>체 육</t>
    <phoneticPr fontId="1" type="noConversion"/>
  </si>
  <si>
    <t>예 술</t>
    <phoneticPr fontId="1" type="noConversion"/>
  </si>
  <si>
    <t>구분</t>
    <phoneticPr fontId="1" type="noConversion"/>
  </si>
  <si>
    <t>과목유형</t>
    <phoneticPr fontId="1" type="noConversion"/>
  </si>
  <si>
    <t>2학기</t>
    <phoneticPr fontId="1" type="noConversion"/>
  </si>
  <si>
    <t>학교지정</t>
    <phoneticPr fontId="1" type="noConversion"/>
  </si>
  <si>
    <t>공통</t>
    <phoneticPr fontId="1" type="noConversion"/>
  </si>
  <si>
    <t>영 어</t>
    <phoneticPr fontId="1" type="noConversion"/>
  </si>
  <si>
    <t>일반</t>
    <phoneticPr fontId="1" type="noConversion"/>
  </si>
  <si>
    <t>진로</t>
    <phoneticPr fontId="1" type="noConversion"/>
  </si>
  <si>
    <t>운영
학점</t>
    <phoneticPr fontId="1" type="noConversion"/>
  </si>
  <si>
    <t>이수
학점</t>
    <phoneticPr fontId="1" type="noConversion"/>
  </si>
  <si>
    <t>필수
이수
학점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</si>
  <si>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</si>
  <si>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</si>
  <si>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공통국어1</t>
  </si>
  <si>
    <t>공통수학1</t>
  </si>
  <si>
    <t>공통영어1</t>
  </si>
  <si>
    <t>문학</t>
  </si>
  <si>
    <t>공통국어2</t>
  </si>
  <si>
    <t>직무 의사소통</t>
  </si>
  <si>
    <t>언어생활 탐구</t>
  </si>
  <si>
    <t>공통수학2</t>
  </si>
  <si>
    <t>확률과 통계</t>
  </si>
  <si>
    <t>직무 수학</t>
  </si>
  <si>
    <t>수학과제 탐구</t>
  </si>
  <si>
    <t>기본수학1</t>
  </si>
  <si>
    <t>기본수학2</t>
  </si>
  <si>
    <t>공통영어2</t>
  </si>
  <si>
    <t>영어 독해와 작문</t>
  </si>
  <si>
    <t>세계 문화와 영어</t>
  </si>
  <si>
    <t>기본영어1</t>
  </si>
  <si>
    <t>기본영어2</t>
  </si>
  <si>
    <t>국제 관계의 이해</t>
  </si>
  <si>
    <t>미술 감상과 비평</t>
  </si>
  <si>
    <t>미술과 매체</t>
  </si>
  <si>
    <t>정보</t>
  </si>
  <si>
    <t>한문</t>
  </si>
  <si>
    <t>한문 고전 읽기</t>
  </si>
  <si>
    <t>언어생활과 한자</t>
  </si>
  <si>
    <t>생태와 환경</t>
  </si>
  <si>
    <t>미적분Ⅰ</t>
    <phoneticPr fontId="1" type="noConversion"/>
  </si>
  <si>
    <t>대수</t>
    <phoneticPr fontId="1" type="noConversion"/>
  </si>
  <si>
    <t>영어Ⅰ</t>
    <phoneticPr fontId="1" type="noConversion"/>
  </si>
  <si>
    <t xml:space="preserve">화법과 언어 </t>
    <phoneticPr fontId="1" type="noConversion"/>
  </si>
  <si>
    <t xml:space="preserve">독서와 작문 </t>
    <phoneticPr fontId="1" type="noConversion"/>
  </si>
  <si>
    <t xml:space="preserve">주제 탐구 독서 </t>
    <phoneticPr fontId="1" type="noConversion"/>
  </si>
  <si>
    <t>독서 토론과 글쓰기</t>
  </si>
  <si>
    <t xml:space="preserve">매체 의사소통 </t>
  </si>
  <si>
    <t xml:space="preserve">수학과 문화 </t>
  </si>
  <si>
    <t>실용 통계</t>
  </si>
  <si>
    <t xml:space="preserve">실생활 영어 회화 </t>
  </si>
  <si>
    <t xml:space="preserve">미디어 영어 </t>
  </si>
  <si>
    <t>세계시민과 지리</t>
  </si>
  <si>
    <t>여행지리</t>
  </si>
  <si>
    <t xml:space="preserve">역학과 에너지 </t>
  </si>
  <si>
    <t>전자기와 양자</t>
  </si>
  <si>
    <t xml:space="preserve">물질과 에너지 </t>
  </si>
  <si>
    <t>음악 연주와 창작</t>
  </si>
  <si>
    <t>음악과 미디어</t>
  </si>
  <si>
    <t>음악 감상과 비평</t>
  </si>
  <si>
    <t xml:space="preserve">미술 창작 </t>
  </si>
  <si>
    <t>창의 공학 설계</t>
  </si>
  <si>
    <t>지식 재산 일반</t>
  </si>
  <si>
    <t xml:space="preserve">진로와 직업 </t>
  </si>
  <si>
    <t>문학과 영상</t>
    <phoneticPr fontId="1" type="noConversion"/>
  </si>
  <si>
    <t>영어Ⅱ</t>
    <phoneticPr fontId="1" type="noConversion"/>
  </si>
  <si>
    <t>영어 발표와 토론</t>
    <phoneticPr fontId="1" type="noConversion"/>
  </si>
  <si>
    <t>인문학과 윤리</t>
    <phoneticPr fontId="1" type="noConversion"/>
  </si>
  <si>
    <t>미술</t>
    <phoneticPr fontId="1" type="noConversion"/>
  </si>
  <si>
    <t>연극</t>
    <phoneticPr fontId="1" type="noConversion"/>
  </si>
  <si>
    <t xml:space="preserve">독일어 </t>
    <phoneticPr fontId="1" type="noConversion"/>
  </si>
  <si>
    <t>일본어 회화</t>
  </si>
  <si>
    <t>아랍어 회화</t>
  </si>
  <si>
    <t>일본 문화</t>
  </si>
  <si>
    <t>아랍 문화</t>
    <phoneticPr fontId="1" type="noConversion"/>
  </si>
  <si>
    <t>인간과 철학</t>
    <phoneticPr fontId="1" type="noConversion"/>
  </si>
  <si>
    <t>인간과 심리</t>
  </si>
  <si>
    <t xml:space="preserve">인간과 경제활동 </t>
  </si>
  <si>
    <t>삶과 종교</t>
    <phoneticPr fontId="1" type="noConversion"/>
  </si>
  <si>
    <t>베트남어</t>
    <phoneticPr fontId="1" type="noConversion"/>
  </si>
  <si>
    <t xml:space="preserve">러시아어 회화 </t>
    <phoneticPr fontId="1" type="noConversion"/>
  </si>
  <si>
    <t>베트남어 회화</t>
    <phoneticPr fontId="1" type="noConversion"/>
  </si>
  <si>
    <t>심화 베트남어</t>
    <phoneticPr fontId="1" type="noConversion"/>
  </si>
  <si>
    <t xml:space="preserve">러시아 문화 </t>
    <phoneticPr fontId="1" type="noConversion"/>
  </si>
  <si>
    <t>베트남 문화</t>
    <phoneticPr fontId="1" type="noConversion"/>
  </si>
  <si>
    <t xml:space="preserve">논리와 사고 </t>
    <phoneticPr fontId="1" type="noConversion"/>
  </si>
  <si>
    <t xml:space="preserve">교육의 이해 </t>
    <phoneticPr fontId="1" type="noConversion"/>
  </si>
  <si>
    <t>보건</t>
    <phoneticPr fontId="1" type="noConversion"/>
  </si>
  <si>
    <t>영미 문학 읽기</t>
    <phoneticPr fontId="1" type="noConversion"/>
  </si>
  <si>
    <t>교양</t>
    <phoneticPr fontId="1" type="noConversion"/>
  </si>
  <si>
    <t>제2외국어/한문</t>
    <phoneticPr fontId="1" type="noConversion"/>
  </si>
  <si>
    <t>기술∙가정/정보</t>
    <phoneticPr fontId="1" type="noConversion"/>
  </si>
  <si>
    <t>기하</t>
    <phoneticPr fontId="1" type="noConversion"/>
  </si>
  <si>
    <t>미적분Ⅱ</t>
    <phoneticPr fontId="1" type="noConversion"/>
  </si>
  <si>
    <t>인공지능 수학</t>
    <phoneticPr fontId="1" type="noConversion"/>
  </si>
  <si>
    <t>경제 수학</t>
    <phoneticPr fontId="1" type="noConversion"/>
  </si>
  <si>
    <t>스포츠 문화</t>
    <phoneticPr fontId="1" type="noConversion"/>
  </si>
  <si>
    <t>스포츠 과학</t>
    <phoneticPr fontId="1" type="noConversion"/>
  </si>
  <si>
    <t xml:space="preserve">생애 설계와 자립 </t>
    <phoneticPr fontId="1" type="noConversion"/>
  </si>
  <si>
    <t>기술∙가정</t>
    <phoneticPr fontId="1" type="noConversion"/>
  </si>
  <si>
    <t>융합</t>
    <phoneticPr fontId="1" type="noConversion"/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</si>
  <si>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</si>
  <si>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</si>
  <si>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</si>
  <si>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</si>
  <si>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</si>
  <si>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</si>
  <si>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</si>
  <si>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</si>
  <si>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세계사</t>
  </si>
  <si>
    <t>사회와 문화</t>
  </si>
  <si>
    <t>현대사회와 윤리</t>
  </si>
  <si>
    <t>물리학</t>
    <phoneticPr fontId="1" type="noConversion"/>
  </si>
  <si>
    <t>화학</t>
    <phoneticPr fontId="1" type="noConversion"/>
  </si>
  <si>
    <t xml:space="preserve">생명과학 </t>
    <phoneticPr fontId="1" type="noConversion"/>
  </si>
  <si>
    <t>지구과학</t>
    <phoneticPr fontId="1" type="noConversion"/>
  </si>
  <si>
    <t>체육1</t>
    <phoneticPr fontId="1" type="noConversion"/>
  </si>
  <si>
    <t>체육2</t>
    <phoneticPr fontId="1" type="noConversion"/>
  </si>
  <si>
    <t>음악</t>
    <phoneticPr fontId="1" type="noConversion"/>
  </si>
  <si>
    <t>프랑스어</t>
    <phoneticPr fontId="1" type="noConversion"/>
  </si>
  <si>
    <t>스페인어</t>
  </si>
  <si>
    <t>중국어</t>
    <phoneticPr fontId="1" type="noConversion"/>
  </si>
  <si>
    <t xml:space="preserve">일본어 </t>
    <phoneticPr fontId="1" type="noConversion"/>
  </si>
  <si>
    <t>러시아어</t>
  </si>
  <si>
    <t>아랍어</t>
    <phoneticPr fontId="1" type="noConversion"/>
  </si>
  <si>
    <t xml:space="preserve">심화 영어 </t>
    <phoneticPr fontId="1" type="noConversion"/>
  </si>
  <si>
    <t xml:space="preserve">심화 영어 독해와 작문 </t>
    <phoneticPr fontId="1" type="noConversion"/>
  </si>
  <si>
    <t>직무 영어</t>
  </si>
  <si>
    <t>한국지리 탐구</t>
    <phoneticPr fontId="1" type="noConversion"/>
  </si>
  <si>
    <t xml:space="preserve">도시의 미래 탐구 </t>
    <phoneticPr fontId="1" type="noConversion"/>
  </si>
  <si>
    <t>동아시아 역사 기행</t>
  </si>
  <si>
    <t>정치</t>
    <phoneticPr fontId="1" type="noConversion"/>
  </si>
  <si>
    <t xml:space="preserve">법과 사회 </t>
    <phoneticPr fontId="1" type="noConversion"/>
  </si>
  <si>
    <t>경제</t>
  </si>
  <si>
    <t xml:space="preserve">윤리와 사상 </t>
    <phoneticPr fontId="1" type="noConversion"/>
  </si>
  <si>
    <t>화학 반응의 세계</t>
  </si>
  <si>
    <t xml:space="preserve">세포와 물질대사 </t>
  </si>
  <si>
    <t>생물의 유전</t>
  </si>
  <si>
    <t xml:space="preserve">지구시스템과학 </t>
  </si>
  <si>
    <t>행성우주과학</t>
  </si>
  <si>
    <t xml:space="preserve">운동과 건강 </t>
  </si>
  <si>
    <t>로봇과 공학세계</t>
    <phoneticPr fontId="1" type="noConversion"/>
  </si>
  <si>
    <t>생활과학 탐구</t>
  </si>
  <si>
    <t xml:space="preserve">인공지능 기초 </t>
  </si>
  <si>
    <t>데이터 과학</t>
  </si>
  <si>
    <t>독일어 회화</t>
  </si>
  <si>
    <t xml:space="preserve">프랑스어 회화 </t>
    <phoneticPr fontId="1" type="noConversion"/>
  </si>
  <si>
    <t>스페인어 회화</t>
  </si>
  <si>
    <t xml:space="preserve">중국어 회화 </t>
    <phoneticPr fontId="1" type="noConversion"/>
  </si>
  <si>
    <t>역사로 탐구하는 현대 세계</t>
  </si>
  <si>
    <t>사회문제 탐구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</si>
  <si>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</si>
  <si>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</si>
  <si>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</si>
  <si>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</si>
  <si>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</si>
  <si>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</si>
  <si>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 xml:space="preserve">스포츠 생활1 </t>
  </si>
  <si>
    <t xml:space="preserve">스포츠 생활2 </t>
  </si>
  <si>
    <t>아동발달과 부모</t>
  </si>
  <si>
    <t>소프트웨어와 생활</t>
    <phoneticPr fontId="1" type="noConversion"/>
  </si>
  <si>
    <t>독일어권 문화</t>
  </si>
  <si>
    <t>프랑스어권 문화</t>
    <phoneticPr fontId="1" type="noConversion"/>
  </si>
  <si>
    <t>스페인어권 문화</t>
  </si>
  <si>
    <t xml:space="preserve">중국 문화 </t>
    <phoneticPr fontId="1" type="noConversion"/>
  </si>
  <si>
    <t>논술</t>
    <phoneticPr fontId="1" type="noConversion"/>
  </si>
  <si>
    <t>심화 독일어</t>
  </si>
  <si>
    <t xml:space="preserve">심화 프랑스어 </t>
    <phoneticPr fontId="1" type="noConversion"/>
  </si>
  <si>
    <t>심화 스페인어</t>
  </si>
  <si>
    <t xml:space="preserve">심화 중국어 </t>
    <phoneticPr fontId="1" type="noConversion"/>
  </si>
  <si>
    <t>심화 일본어</t>
  </si>
  <si>
    <t xml:space="preserve">심화 러시아어 </t>
    <phoneticPr fontId="1" type="noConversion"/>
  </si>
  <si>
    <t>심화 아랍어</t>
  </si>
  <si>
    <t>사 회
(역사/도덕 포함)</t>
    <phoneticPr fontId="1" type="noConversion"/>
  </si>
  <si>
    <t>교과 이수 학점 소계</t>
    <phoneticPr fontId="1" type="noConversion"/>
  </si>
  <si>
    <t>학기당 이수 과목 수</t>
    <phoneticPr fontId="1" type="noConversion"/>
  </si>
  <si>
    <t>기술∙가정/정보</t>
  </si>
  <si>
    <t>교 양</t>
    <phoneticPr fontId="1" type="noConversion"/>
  </si>
  <si>
    <t>입력용 
교과(군)</t>
    <phoneticPr fontId="1" type="noConversion"/>
  </si>
  <si>
    <t>국어</t>
    <phoneticPr fontId="1" type="noConversion"/>
  </si>
  <si>
    <t>수학</t>
    <phoneticPr fontId="1" type="noConversion"/>
  </si>
  <si>
    <t>영어</t>
    <phoneticPr fontId="1" type="noConversion"/>
  </si>
  <si>
    <t>사회</t>
    <phoneticPr fontId="1" type="noConversion"/>
  </si>
  <si>
    <t>과학</t>
    <phoneticPr fontId="1" type="noConversion"/>
  </si>
  <si>
    <t>체육</t>
    <phoneticPr fontId="1" type="noConversion"/>
  </si>
  <si>
    <t>예술</t>
    <phoneticPr fontId="1" type="noConversion"/>
  </si>
  <si>
    <t>기가정</t>
    <phoneticPr fontId="1" type="noConversion"/>
  </si>
  <si>
    <t>외한</t>
    <phoneticPr fontId="1" type="noConversion"/>
  </si>
  <si>
    <t>국어공통</t>
    <phoneticPr fontId="1" type="noConversion"/>
  </si>
  <si>
    <t>국어일반</t>
    <phoneticPr fontId="1" type="noConversion"/>
  </si>
  <si>
    <t>국어진로</t>
    <phoneticPr fontId="1" type="noConversion"/>
  </si>
  <si>
    <t>국어융합</t>
    <phoneticPr fontId="1" type="noConversion"/>
  </si>
  <si>
    <t>수학공통</t>
    <phoneticPr fontId="1" type="noConversion"/>
  </si>
  <si>
    <t>수학일반</t>
    <phoneticPr fontId="1" type="noConversion"/>
  </si>
  <si>
    <t>수학진로</t>
    <phoneticPr fontId="1" type="noConversion"/>
  </si>
  <si>
    <t>수학융합</t>
    <phoneticPr fontId="1" type="noConversion"/>
  </si>
  <si>
    <t>영어공통</t>
    <phoneticPr fontId="1" type="noConversion"/>
  </si>
  <si>
    <t>영어일반</t>
    <phoneticPr fontId="1" type="noConversion"/>
  </si>
  <si>
    <t>영어진로</t>
    <phoneticPr fontId="1" type="noConversion"/>
  </si>
  <si>
    <t>영어융합</t>
    <phoneticPr fontId="1" type="noConversion"/>
  </si>
  <si>
    <t>사회공통</t>
    <phoneticPr fontId="1" type="noConversion"/>
  </si>
  <si>
    <t>사회일반</t>
    <phoneticPr fontId="1" type="noConversion"/>
  </si>
  <si>
    <t>사회진로</t>
    <phoneticPr fontId="1" type="noConversion"/>
  </si>
  <si>
    <t>사회융합</t>
    <phoneticPr fontId="1" type="noConversion"/>
  </si>
  <si>
    <t>과학공통</t>
    <phoneticPr fontId="1" type="noConversion"/>
  </si>
  <si>
    <t>과학일반</t>
    <phoneticPr fontId="1" type="noConversion"/>
  </si>
  <si>
    <t>과학진로</t>
    <phoneticPr fontId="1" type="noConversion"/>
  </si>
  <si>
    <t>과학융합</t>
    <phoneticPr fontId="1" type="noConversion"/>
  </si>
  <si>
    <t>체육일반</t>
    <phoneticPr fontId="1" type="noConversion"/>
  </si>
  <si>
    <t>체육진로</t>
    <phoneticPr fontId="1" type="noConversion"/>
  </si>
  <si>
    <t>체육융합</t>
    <phoneticPr fontId="1" type="noConversion"/>
  </si>
  <si>
    <t>예술일반</t>
    <phoneticPr fontId="1" type="noConversion"/>
  </si>
  <si>
    <t>예술진로</t>
    <phoneticPr fontId="1" type="noConversion"/>
  </si>
  <si>
    <t>예술융합</t>
    <phoneticPr fontId="1" type="noConversion"/>
  </si>
  <si>
    <t>기가정일반</t>
    <phoneticPr fontId="1" type="noConversion"/>
  </si>
  <si>
    <t>기가정진로</t>
    <phoneticPr fontId="1" type="noConversion"/>
  </si>
  <si>
    <t>기가정융합</t>
    <phoneticPr fontId="1" type="noConversion"/>
  </si>
  <si>
    <t>외한일반</t>
    <phoneticPr fontId="1" type="noConversion"/>
  </si>
  <si>
    <t>외한진로</t>
    <phoneticPr fontId="1" type="noConversion"/>
  </si>
  <si>
    <t>외한융합</t>
    <phoneticPr fontId="1" type="noConversion"/>
  </si>
  <si>
    <t>교양일반</t>
    <phoneticPr fontId="1" type="noConversion"/>
  </si>
  <si>
    <t>교양진로</t>
    <phoneticPr fontId="1" type="noConversion"/>
  </si>
  <si>
    <t>교양융합</t>
    <phoneticPr fontId="1" type="noConversion"/>
  </si>
  <si>
    <t>과목명</t>
    <phoneticPr fontId="1" type="noConversion"/>
  </si>
  <si>
    <t>허용하한</t>
    <phoneticPr fontId="1" type="noConversion"/>
  </si>
  <si>
    <t>허용상한</t>
    <phoneticPr fontId="1" type="noConversion"/>
  </si>
  <si>
    <t>목록이름</t>
    <phoneticPr fontId="1" type="noConversion"/>
  </si>
  <si>
    <t>과목유형</t>
    <phoneticPr fontId="1" type="noConversion"/>
  </si>
  <si>
    <t>과목유형2</t>
    <phoneticPr fontId="1" type="noConversion"/>
  </si>
  <si>
    <t>과목 개설 유형</t>
    <phoneticPr fontId="1" type="noConversion"/>
  </si>
  <si>
    <t>비고</t>
    <phoneticPr fontId="1" type="noConversion"/>
  </si>
  <si>
    <t>비고</t>
    <phoneticPr fontId="1" type="noConversion"/>
  </si>
  <si>
    <t>특목고 선택 과목</t>
    <phoneticPr fontId="1" type="noConversion"/>
  </si>
  <si>
    <t>전문 교과</t>
    <phoneticPr fontId="1" type="noConversion"/>
  </si>
  <si>
    <t>교육감 승인 과목</t>
    <phoneticPr fontId="1" type="noConversion"/>
  </si>
  <si>
    <t>교육감 승인 과목(특목고)</t>
    <phoneticPr fontId="1" type="noConversion"/>
  </si>
  <si>
    <t>교육감 승인 과목(전문)</t>
    <phoneticPr fontId="1" type="noConversion"/>
  </si>
  <si>
    <t>타 시·도 교육감 승인 과목</t>
    <phoneticPr fontId="1" type="noConversion"/>
  </si>
  <si>
    <t>타 시·도 교육감 승인 과목(특목고)</t>
    <phoneticPr fontId="1" type="noConversion"/>
  </si>
  <si>
    <t>타 시·도 교육감 승인 과목(전문)</t>
    <phoneticPr fontId="1" type="noConversion"/>
  </si>
  <si>
    <t>공유캠퍼스</t>
    <phoneticPr fontId="1" type="noConversion"/>
  </si>
  <si>
    <t>온라인학교</t>
    <phoneticPr fontId="1" type="noConversion"/>
  </si>
  <si>
    <t>학교 밖 교육</t>
    <phoneticPr fontId="1" type="noConversion"/>
  </si>
  <si>
    <t>과목</t>
    <phoneticPr fontId="1" type="noConversion"/>
  </si>
  <si>
    <t>국 어</t>
  </si>
  <si>
    <t>기본
학점</t>
    <phoneticPr fontId="1" type="noConversion"/>
  </si>
  <si>
    <t>과목 
유형</t>
    <phoneticPr fontId="1" type="noConversion"/>
  </si>
  <si>
    <t>기본학점</t>
    <phoneticPr fontId="1" type="noConversion"/>
  </si>
  <si>
    <t>공통</t>
  </si>
  <si>
    <t>일반</t>
  </si>
  <si>
    <t>진로</t>
  </si>
  <si>
    <t xml:space="preserve">화법과 언어 </t>
  </si>
  <si>
    <t xml:space="preserve">독서와 작문 </t>
  </si>
  <si>
    <t xml:space="preserve">주제 탐구 독서 </t>
  </si>
  <si>
    <t xml:space="preserve"> </t>
    <phoneticPr fontId="1" type="noConversion"/>
  </si>
  <si>
    <t>융합</t>
  </si>
  <si>
    <t>대수</t>
  </si>
  <si>
    <t>미적분Ⅰ</t>
  </si>
  <si>
    <t>영어Ⅰ</t>
  </si>
  <si>
    <t>영어Ⅱ</t>
  </si>
  <si>
    <t xml:space="preserve">심화 영어 독해와 작문 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</si>
  <si>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</si>
  <si>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</si>
  <si>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</si>
  <si>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</si>
  <si>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</si>
  <si>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</si>
  <si>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</si>
  <si>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</si>
  <si>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체육1</t>
  </si>
  <si>
    <t>체육2</t>
  </si>
  <si>
    <t>스포츠 과학</t>
  </si>
  <si>
    <t>스포츠 문화</t>
  </si>
  <si>
    <t>음악</t>
  </si>
  <si>
    <t>미술</t>
  </si>
  <si>
    <t>[3]</t>
    <phoneticPr fontId="1" type="noConversion"/>
  </si>
  <si>
    <t>기하</t>
  </si>
  <si>
    <t>물리학</t>
  </si>
  <si>
    <t>화학</t>
  </si>
  <si>
    <t xml:space="preserve">생명과학 </t>
  </si>
  <si>
    <t>지구과학</t>
  </si>
  <si>
    <t>중국어</t>
  </si>
  <si>
    <t xml:space="preserve">일본어 </t>
  </si>
  <si>
    <t>12
(택3)</t>
    <phoneticPr fontId="1" type="noConversion"/>
  </si>
  <si>
    <t>4
(택1)</t>
    <phoneticPr fontId="1" type="noConversion"/>
  </si>
  <si>
    <t>미적분Ⅱ</t>
  </si>
  <si>
    <t>한국지리 탐구</t>
  </si>
  <si>
    <t xml:space="preserve">도시의 미래 탐구 </t>
  </si>
  <si>
    <t xml:space="preserve">중국 문화 </t>
  </si>
  <si>
    <t>4
(택1)</t>
  </si>
  <si>
    <t>특목고 선택 과목</t>
  </si>
  <si>
    <t>소프트웨어와 생활</t>
  </si>
  <si>
    <t>3학년 
선택</t>
    <phoneticPr fontId="1" type="noConversion"/>
  </si>
  <si>
    <t xml:space="preserve">중국어 회화 </t>
  </si>
  <si>
    <t>12
(택3)</t>
    <phoneticPr fontId="1" type="noConversion"/>
  </si>
  <si>
    <t>4
(택1)</t>
    <phoneticPr fontId="1" type="noConversion"/>
  </si>
  <si>
    <t>무학여자고등학교 교육과정 학점 배당표(과학중점과정)</t>
    <phoneticPr fontId="1" type="noConversion"/>
  </si>
  <si>
    <t>일본어 회화</t>
    <phoneticPr fontId="1" type="noConversion"/>
  </si>
  <si>
    <t>※ 유의사항
- 2,3학년 수학(일반, 진로 선택) 과목을 1과목 이상 2과목 이내로 이수(국어, 수학, 영어 교과의 이수 학점 총합은 81학점 초과 불가)
- 2,3학년 과학(일반, 진로 선택) 과목을 7과목 이상 이수</t>
    <phoneticPr fontId="1" type="noConversion"/>
  </si>
  <si>
    <t>현대 세계의 변화</t>
    <phoneticPr fontId="1" type="noConversion"/>
  </si>
  <si>
    <t xml:space="preserve"> </t>
    <phoneticPr fontId="1" type="noConversion"/>
  </si>
  <si>
    <t>8
(택2)</t>
    <phoneticPr fontId="1" type="noConversion"/>
  </si>
  <si>
    <t>수 학</t>
  </si>
  <si>
    <t>12
(택3)</t>
    <phoneticPr fontId="1" type="noConversion"/>
  </si>
  <si>
    <t>2학년
선택</t>
    <phoneticPr fontId="1" type="noConversion"/>
  </si>
  <si>
    <t>2026학년도 입학(2022 개정 교육과정 적용)</t>
    <phoneticPr fontId="1" type="noConversion"/>
  </si>
  <si>
    <t>예 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</si>
</sst>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 "/>
  </numFmts>
  <fonts count="19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FF0000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i/>
      <sz val="10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3">
    <xf numFmtId="0" fontId="0" fillId="0" borderId="0" xfId="0"/>
    <xf numFmtId="0" fontId="4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28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49" fontId="10" fillId="0" borderId="16" xfId="0" applyNumberFormat="1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49" fontId="10" fillId="0" borderId="20" xfId="0" applyNumberFormat="1" applyFont="1" applyBorder="1" applyAlignment="1">
      <alignment horizontal="center" vertical="center" wrapText="1"/>
    </xf>
    <xf numFmtId="49" fontId="10" fillId="0" borderId="18" xfId="0" applyNumberFormat="1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49" fontId="10" fillId="0" borderId="51" xfId="0" applyNumberFormat="1" applyFont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 wrapText="1"/>
    </xf>
    <xf numFmtId="0" fontId="10" fillId="0" borderId="54" xfId="0" applyFont="1" applyBorder="1" applyAlignment="1">
      <alignment horizontal="center" vertical="center" wrapText="1"/>
    </xf>
    <xf numFmtId="0" fontId="10" fillId="0" borderId="53" xfId="0" applyFont="1" applyBorder="1" applyAlignment="1">
      <alignment horizontal="center" vertical="center" wrapText="1"/>
    </xf>
    <xf numFmtId="49" fontId="10" fillId="0" borderId="8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38" xfId="0" quotePrefix="1" applyFont="1" applyBorder="1" applyAlignment="1">
      <alignment horizontal="center" vertical="center" wrapText="1"/>
    </xf>
    <xf numFmtId="0" fontId="10" fillId="0" borderId="24" xfId="0" quotePrefix="1" applyFont="1" applyBorder="1" applyAlignment="1">
      <alignment horizontal="center" vertical="center" wrapText="1"/>
    </xf>
    <xf numFmtId="0" fontId="10" fillId="0" borderId="25" xfId="0" quotePrefix="1" applyFont="1" applyBorder="1" applyAlignment="1">
      <alignment horizontal="center" vertical="center" wrapText="1"/>
    </xf>
    <xf numFmtId="0" fontId="10" fillId="0" borderId="37" xfId="0" quotePrefix="1" applyFont="1" applyBorder="1" applyAlignment="1">
      <alignment horizontal="center" vertical="center" wrapText="1"/>
    </xf>
    <xf numFmtId="0" fontId="10" fillId="2" borderId="38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10" fillId="0" borderId="33" xfId="0" quotePrefix="1" applyFont="1" applyBorder="1" applyAlignment="1">
      <alignment horizontal="center" vertical="center" wrapText="1"/>
    </xf>
    <xf numFmtId="0" fontId="10" fillId="2" borderId="34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10" fillId="0" borderId="17" xfId="0" quotePrefix="1" applyFont="1" applyBorder="1" applyAlignment="1">
      <alignment horizontal="center" vertical="center" wrapText="1"/>
    </xf>
    <xf numFmtId="0" fontId="10" fillId="0" borderId="19" xfId="0" quotePrefix="1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0" fillId="2" borderId="36" xfId="0" applyFont="1" applyFill="1" applyBorder="1" applyAlignment="1">
      <alignment horizontal="center" vertical="center" wrapText="1"/>
    </xf>
    <xf numFmtId="0" fontId="10" fillId="2" borderId="23" xfId="0" applyFont="1" applyFill="1" applyBorder="1" applyAlignment="1">
      <alignment horizontal="center" vertical="center" wrapText="1"/>
    </xf>
    <xf numFmtId="0" fontId="10" fillId="0" borderId="72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shrinkToFit="1"/>
    </xf>
    <xf numFmtId="0" fontId="11" fillId="7" borderId="2" xfId="0" applyFont="1" applyFill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49" fontId="12" fillId="7" borderId="2" xfId="0" applyNumberFormat="1" applyFont="1" applyFill="1" applyBorder="1" applyAlignment="1">
      <alignment horizontal="center" vertical="center" shrinkToFit="1"/>
    </xf>
    <xf numFmtId="49" fontId="13" fillId="7" borderId="2" xfId="0" applyNumberFormat="1" applyFont="1" applyFill="1" applyBorder="1" applyAlignment="1">
      <alignment horizontal="center" vertical="center" shrinkToFit="1"/>
    </xf>
    <xf numFmtId="0" fontId="11" fillId="0" borderId="0" xfId="0" applyFont="1" applyAlignment="1">
      <alignment shrinkToFit="1"/>
    </xf>
    <xf numFmtId="49" fontId="12" fillId="2" borderId="2" xfId="0" applyNumberFormat="1" applyFont="1" applyFill="1" applyBorder="1" applyAlignment="1">
      <alignment horizontal="center" vertical="center" shrinkToFit="1"/>
    </xf>
    <xf numFmtId="49" fontId="13" fillId="2" borderId="2" xfId="0" applyNumberFormat="1" applyFont="1" applyFill="1" applyBorder="1" applyAlignment="1">
      <alignment horizontal="center" vertical="center" shrinkToFit="1"/>
    </xf>
    <xf numFmtId="49" fontId="12" fillId="8" borderId="2" xfId="0" applyNumberFormat="1" applyFont="1" applyFill="1" applyBorder="1" applyAlignment="1">
      <alignment horizontal="center" vertical="center" shrinkToFit="1"/>
    </xf>
    <xf numFmtId="49" fontId="13" fillId="8" borderId="2" xfId="0" applyNumberFormat="1" applyFont="1" applyFill="1" applyBorder="1" applyAlignment="1">
      <alignment horizontal="center" vertical="center" shrinkToFit="1"/>
    </xf>
    <xf numFmtId="0" fontId="11" fillId="8" borderId="2" xfId="0" applyFont="1" applyFill="1" applyBorder="1" applyAlignment="1">
      <alignment horizontal="center" vertical="center" shrinkToFit="1"/>
    </xf>
    <xf numFmtId="0" fontId="14" fillId="8" borderId="2" xfId="0" applyFont="1" applyFill="1" applyBorder="1" applyAlignment="1">
      <alignment horizontal="center" vertical="center" shrinkToFit="1"/>
    </xf>
    <xf numFmtId="0" fontId="11" fillId="6" borderId="2" xfId="0" applyFont="1" applyFill="1" applyBorder="1" applyAlignment="1">
      <alignment horizontal="center" vertical="center" shrinkToFit="1"/>
    </xf>
    <xf numFmtId="0" fontId="11" fillId="6" borderId="2" xfId="0" applyFont="1" applyFill="1" applyBorder="1" applyAlignment="1">
      <alignment horizontal="center" vertical="center" wrapText="1" shrinkToFit="1"/>
    </xf>
    <xf numFmtId="0" fontId="8" fillId="3" borderId="8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3" borderId="6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50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2" fillId="3" borderId="43" xfId="0" applyFont="1" applyFill="1" applyBorder="1" applyAlignment="1">
      <alignment horizontal="center" vertical="center" wrapText="1"/>
    </xf>
    <xf numFmtId="0" fontId="2" fillId="3" borderId="44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52" xfId="0" applyFont="1" applyFill="1" applyBorder="1" applyAlignment="1">
      <alignment horizontal="center" vertical="center" wrapText="1"/>
    </xf>
    <xf numFmtId="0" fontId="10" fillId="2" borderId="17" xfId="0" quotePrefix="1" applyFont="1" applyFill="1" applyBorder="1" applyAlignment="1">
      <alignment horizontal="center" vertical="center" wrapText="1"/>
    </xf>
    <xf numFmtId="0" fontId="10" fillId="2" borderId="19" xfId="0" quotePrefix="1" applyFont="1" applyFill="1" applyBorder="1" applyAlignment="1">
      <alignment horizontal="center" vertical="center" wrapText="1"/>
    </xf>
    <xf numFmtId="0" fontId="10" fillId="2" borderId="21" xfId="0" quotePrefix="1" applyFont="1" applyFill="1" applyBorder="1" applyAlignment="1">
      <alignment horizontal="center" vertical="center" wrapText="1"/>
    </xf>
    <xf numFmtId="0" fontId="10" fillId="2" borderId="37" xfId="0" applyFont="1" applyFill="1" applyBorder="1" applyAlignment="1">
      <alignment horizontal="center" vertical="center" wrapText="1"/>
    </xf>
    <xf numFmtId="0" fontId="10" fillId="2" borderId="33" xfId="0" applyFont="1" applyFill="1" applyBorder="1" applyAlignment="1">
      <alignment horizontal="center" vertical="center" wrapText="1"/>
    </xf>
    <xf numFmtId="0" fontId="10" fillId="2" borderId="35" xfId="0" applyFont="1" applyFill="1" applyBorder="1" applyAlignment="1">
      <alignment horizontal="center" vertical="center" wrapText="1"/>
    </xf>
    <xf numFmtId="0" fontId="10" fillId="2" borderId="37" xfId="0" quotePrefix="1" applyFont="1" applyFill="1" applyBorder="1" applyAlignment="1">
      <alignment horizontal="center" vertical="center" wrapText="1"/>
    </xf>
    <xf numFmtId="0" fontId="10" fillId="2" borderId="33" xfId="0" quotePrefix="1" applyFont="1" applyFill="1" applyBorder="1" applyAlignment="1">
      <alignment horizontal="center" vertical="center" wrapText="1"/>
    </xf>
    <xf numFmtId="0" fontId="10" fillId="2" borderId="35" xfId="0" quotePrefix="1" applyFont="1" applyFill="1" applyBorder="1" applyAlignment="1">
      <alignment horizontal="center" vertical="center" wrapText="1"/>
    </xf>
    <xf numFmtId="0" fontId="10" fillId="2" borderId="39" xfId="0" applyFont="1" applyFill="1" applyBorder="1" applyAlignment="1">
      <alignment horizontal="center" vertical="center" wrapText="1"/>
    </xf>
    <xf numFmtId="0" fontId="10" fillId="2" borderId="53" xfId="0" quotePrefix="1" applyFont="1" applyFill="1" applyBorder="1" applyAlignment="1">
      <alignment horizontal="center" vertical="center" wrapText="1"/>
    </xf>
    <xf numFmtId="0" fontId="2" fillId="3" borderId="81" xfId="0" applyFont="1" applyFill="1" applyBorder="1" applyAlignment="1">
      <alignment horizontal="center" vertical="center" wrapText="1"/>
    </xf>
    <xf numFmtId="0" fontId="8" fillId="3" borderId="80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shrinkToFit="1"/>
    </xf>
    <xf numFmtId="0" fontId="11" fillId="9" borderId="6" xfId="0" applyFont="1" applyFill="1" applyBorder="1" applyAlignment="1">
      <alignment horizontal="center" vertical="center" shrinkToFit="1"/>
    </xf>
    <xf numFmtId="0" fontId="8" fillId="3" borderId="14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49" fontId="10" fillId="0" borderId="16" xfId="0" applyNumberFormat="1" applyFont="1" applyBorder="1" applyAlignment="1">
      <alignment horizontal="center" vertical="center" shrinkToFit="1"/>
    </xf>
    <xf numFmtId="49" fontId="10" fillId="0" borderId="20" xfId="0" applyNumberFormat="1" applyFont="1" applyBorder="1" applyAlignment="1">
      <alignment horizontal="center" vertical="center" shrinkToFit="1"/>
    </xf>
    <xf numFmtId="0" fontId="11" fillId="2" borderId="6" xfId="0" applyFont="1" applyFill="1" applyBorder="1" applyAlignment="1">
      <alignment horizontal="center" vertical="center" shrinkToFit="1"/>
    </xf>
    <xf numFmtId="0" fontId="11" fillId="2" borderId="0" xfId="0" applyFont="1" applyFill="1" applyAlignment="1">
      <alignment horizontal="center" vertical="center" shrinkToFit="1"/>
    </xf>
    <xf numFmtId="49" fontId="10" fillId="0" borderId="4" xfId="0" applyNumberFormat="1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49" fontId="10" fillId="0" borderId="26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0" xfId="0" quotePrefix="1" applyFont="1" applyBorder="1" applyAlignment="1">
      <alignment horizontal="center" vertical="center" wrapText="1"/>
    </xf>
    <xf numFmtId="0" fontId="10" fillId="0" borderId="3" xfId="0" quotePrefix="1" applyFont="1" applyBorder="1" applyAlignment="1">
      <alignment horizontal="center" vertical="center" wrapText="1"/>
    </xf>
    <xf numFmtId="49" fontId="10" fillId="0" borderId="26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" xfId="0" applyNumberFormat="1" applyFont="1" applyBorder="1" applyAlignment="1">
      <alignment horizontal="center" vertical="center" wrapText="1"/>
    </xf>
    <xf numFmtId="0" fontId="10" fillId="2" borderId="54" xfId="0" applyFont="1" applyFill="1" applyBorder="1" applyAlignment="1">
      <alignment horizontal="center" vertical="center" wrapText="1"/>
    </xf>
    <xf numFmtId="0" fontId="10" fillId="2" borderId="55" xfId="0" applyFont="1" applyFill="1" applyBorder="1" applyAlignment="1">
      <alignment horizontal="center" vertical="center" wrapText="1"/>
    </xf>
    <xf numFmtId="49" fontId="10" fillId="0" borderId="51" xfId="0" applyNumberFormat="1" applyFont="1" applyBorder="1" applyAlignment="1">
      <alignment horizontal="center" vertical="center" shrinkToFit="1"/>
    </xf>
    <xf numFmtId="49" fontId="10" fillId="0" borderId="3" xfId="0" applyNumberFormat="1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65" xfId="0" applyFont="1" applyBorder="1" applyAlignment="1">
      <alignment horizontal="center" vertical="center" wrapText="1"/>
    </xf>
    <xf numFmtId="49" fontId="10" fillId="0" borderId="8" xfId="0" applyNumberFormat="1" applyFont="1" applyBorder="1" applyAlignment="1">
      <alignment horizontal="center" vertical="center" shrinkToFit="1"/>
    </xf>
    <xf numFmtId="49" fontId="10" fillId="0" borderId="4" xfId="0" applyNumberFormat="1" applyFont="1" applyBorder="1" applyAlignment="1">
      <alignment horizontal="center" vertical="center" shrinkToFit="1"/>
    </xf>
    <xf numFmtId="0" fontId="10" fillId="0" borderId="10" xfId="0" applyFont="1" applyBorder="1" applyAlignment="1">
      <alignment horizontal="center" vertical="center" wrapText="1"/>
    </xf>
    <xf numFmtId="0" fontId="10" fillId="2" borderId="89" xfId="0" applyFont="1" applyFill="1" applyBorder="1" applyAlignment="1">
      <alignment horizontal="center" vertical="center" wrapText="1"/>
    </xf>
    <xf numFmtId="0" fontId="10" fillId="2" borderId="40" xfId="0" quotePrefix="1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 shrinkToFit="1"/>
    </xf>
    <xf numFmtId="0" fontId="10" fillId="2" borderId="88" xfId="0" applyFont="1" applyFill="1" applyBorder="1" applyAlignment="1">
      <alignment horizontal="center" vertical="center" wrapText="1"/>
    </xf>
    <xf numFmtId="0" fontId="10" fillId="2" borderId="63" xfId="0" applyFont="1" applyFill="1" applyBorder="1" applyAlignment="1">
      <alignment horizontal="center" vertical="center" wrapText="1"/>
    </xf>
    <xf numFmtId="0" fontId="0" fillId="0" borderId="70" xfId="0" applyBorder="1" applyAlignment="1">
      <alignment horizontal="center" vertical="center"/>
    </xf>
    <xf numFmtId="0" fontId="10" fillId="0" borderId="97" xfId="0" applyFont="1" applyBorder="1" applyAlignment="1">
      <alignment horizontal="center" vertical="center" wrapText="1"/>
    </xf>
    <xf numFmtId="0" fontId="10" fillId="2" borderId="98" xfId="0" applyFont="1" applyFill="1" applyBorder="1" applyAlignment="1">
      <alignment horizontal="center" vertical="center" wrapText="1"/>
    </xf>
    <xf numFmtId="0" fontId="10" fillId="0" borderId="71" xfId="0" applyFont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10" fillId="2" borderId="41" xfId="0" applyFont="1" applyFill="1" applyBorder="1" applyAlignment="1">
      <alignment horizontal="center" vertical="center" wrapText="1"/>
    </xf>
    <xf numFmtId="0" fontId="10" fillId="2" borderId="30" xfId="0" applyFont="1" applyFill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0" fontId="10" fillId="2" borderId="72" xfId="0" applyFont="1" applyFill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shrinkToFit="1"/>
    </xf>
    <xf numFmtId="49" fontId="10" fillId="0" borderId="87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49" fontId="10" fillId="0" borderId="18" xfId="0" applyNumberFormat="1" applyFont="1" applyBorder="1" applyAlignment="1">
      <alignment horizontal="center" vertical="center" shrinkToFit="1"/>
    </xf>
    <xf numFmtId="0" fontId="10" fillId="0" borderId="8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2" borderId="86" xfId="0" applyFont="1" applyFill="1" applyBorder="1" applyAlignment="1">
      <alignment horizontal="center" vertical="center" wrapText="1"/>
    </xf>
    <xf numFmtId="0" fontId="10" fillId="2" borderId="59" xfId="0" applyFont="1" applyFill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0" borderId="59" xfId="0" applyFont="1" applyBorder="1" applyAlignment="1">
      <alignment horizontal="center" vertical="center" wrapText="1"/>
    </xf>
    <xf numFmtId="0" fontId="10" fillId="2" borderId="73" xfId="0" applyFont="1" applyFill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shrinkToFit="1"/>
    </xf>
    <xf numFmtId="0" fontId="10" fillId="0" borderId="15" xfId="0" applyFont="1" applyBorder="1" applyAlignment="1">
      <alignment horizontal="center" vertical="center" shrinkToFit="1"/>
    </xf>
    <xf numFmtId="0" fontId="10" fillId="2" borderId="70" xfId="0" applyFont="1" applyFill="1" applyBorder="1" applyAlignment="1">
      <alignment horizontal="center" vertical="center" wrapText="1"/>
    </xf>
    <xf numFmtId="49" fontId="10" fillId="0" borderId="25" xfId="0" applyNumberFormat="1" applyFont="1" applyBorder="1" applyAlignment="1">
      <alignment horizontal="center" vertical="center" wrapText="1"/>
    </xf>
    <xf numFmtId="49" fontId="10" fillId="0" borderId="28" xfId="0" applyNumberFormat="1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shrinkToFit="1"/>
    </xf>
    <xf numFmtId="49" fontId="10" fillId="0" borderId="55" xfId="0" applyNumberFormat="1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shrinkToFit="1"/>
    </xf>
    <xf numFmtId="0" fontId="10" fillId="0" borderId="18" xfId="0" applyFont="1" applyBorder="1" applyAlignment="1">
      <alignment horizontal="center" vertical="center"/>
    </xf>
    <xf numFmtId="0" fontId="10" fillId="0" borderId="34" xfId="0" quotePrefix="1" applyFont="1" applyBorder="1" applyAlignment="1">
      <alignment horizontal="center" vertical="center" wrapText="1"/>
    </xf>
    <xf numFmtId="49" fontId="10" fillId="0" borderId="25" xfId="0" applyNumberFormat="1" applyFont="1" applyBorder="1" applyAlignment="1">
      <alignment horizontal="center" vertical="center" shrinkToFit="1"/>
    </xf>
    <xf numFmtId="49" fontId="10" fillId="0" borderId="55" xfId="0" applyNumberFormat="1" applyFont="1" applyBorder="1" applyAlignment="1">
      <alignment horizontal="center" vertical="center" shrinkToFit="1"/>
    </xf>
    <xf numFmtId="0" fontId="10" fillId="2" borderId="71" xfId="0" applyFont="1" applyFill="1" applyBorder="1" applyAlignment="1">
      <alignment horizontal="center" vertical="center" wrapText="1"/>
    </xf>
    <xf numFmtId="49" fontId="10" fillId="0" borderId="7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shrinkToFit="1"/>
    </xf>
    <xf numFmtId="49" fontId="10" fillId="0" borderId="27" xfId="0" applyNumberFormat="1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shrinkToFit="1"/>
    </xf>
    <xf numFmtId="49" fontId="10" fillId="0" borderId="14" xfId="0" applyNumberFormat="1" applyFont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49" fontId="10" fillId="0" borderId="82" xfId="0" applyNumberFormat="1" applyFont="1" applyBorder="1" applyAlignment="1">
      <alignment horizontal="center" vertical="center" wrapText="1"/>
    </xf>
    <xf numFmtId="0" fontId="10" fillId="0" borderId="51" xfId="0" applyFont="1" applyBorder="1" applyAlignment="1">
      <alignment horizontal="center" vertical="center" shrinkToFit="1"/>
    </xf>
    <xf numFmtId="0" fontId="10" fillId="0" borderId="87" xfId="0" applyFont="1" applyBorder="1" applyAlignment="1">
      <alignment horizontal="center" vertical="center" shrinkToFit="1"/>
    </xf>
    <xf numFmtId="0" fontId="10" fillId="2" borderId="0" xfId="0" applyFont="1" applyFill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0" fillId="0" borderId="73" xfId="0" applyFont="1" applyBorder="1" applyAlignment="1">
      <alignment horizontal="center" vertical="center" wrapText="1"/>
    </xf>
    <xf numFmtId="0" fontId="10" fillId="0" borderId="85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55" xfId="0" applyFont="1" applyBorder="1" applyAlignment="1">
      <alignment vertical="center" wrapText="1"/>
    </xf>
    <xf numFmtId="0" fontId="10" fillId="0" borderId="89" xfId="0" applyFont="1" applyBorder="1" applyAlignment="1">
      <alignment horizontal="center" vertical="center" wrapText="1"/>
    </xf>
    <xf numFmtId="0" fontId="10" fillId="0" borderId="86" xfId="0" applyFont="1" applyBorder="1" applyAlignment="1">
      <alignment horizontal="center" vertical="center" wrapText="1"/>
    </xf>
    <xf numFmtId="0" fontId="10" fillId="0" borderId="69" xfId="0" applyFont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85" xfId="0" applyFont="1" applyFill="1" applyBorder="1" applyAlignment="1">
      <alignment horizontal="center" vertical="center" wrapText="1"/>
    </xf>
    <xf numFmtId="0" fontId="10" fillId="2" borderId="82" xfId="0" applyFont="1" applyFill="1" applyBorder="1" applyAlignment="1">
      <alignment horizontal="center" vertical="center" wrapText="1"/>
    </xf>
    <xf numFmtId="0" fontId="10" fillId="0" borderId="85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62" xfId="0" applyFont="1" applyBorder="1" applyAlignment="1">
      <alignment horizontal="center" vertical="center" wrapText="1"/>
    </xf>
    <xf numFmtId="0" fontId="10" fillId="0" borderId="87" xfId="0" applyFont="1" applyBorder="1" applyAlignment="1">
      <alignment horizontal="center" vertical="center" wrapText="1"/>
    </xf>
    <xf numFmtId="0" fontId="10" fillId="0" borderId="84" xfId="0" applyFont="1" applyBorder="1" applyAlignment="1">
      <alignment horizontal="center" vertical="center" wrapText="1"/>
    </xf>
    <xf numFmtId="49" fontId="10" fillId="0" borderId="14" xfId="0" applyNumberFormat="1" applyFont="1" applyBorder="1" applyAlignment="1">
      <alignment horizontal="center" vertical="center" shrinkToFit="1"/>
    </xf>
    <xf numFmtId="0" fontId="10" fillId="2" borderId="76" xfId="0" quotePrefix="1" applyFont="1" applyFill="1" applyBorder="1" applyAlignment="1">
      <alignment horizontal="center" vertical="center" wrapText="1"/>
    </xf>
    <xf numFmtId="0" fontId="10" fillId="2" borderId="76" xfId="0" applyFont="1" applyFill="1" applyBorder="1" applyAlignment="1">
      <alignment horizontal="center" vertical="center" wrapText="1"/>
    </xf>
    <xf numFmtId="0" fontId="10" fillId="2" borderId="77" xfId="0" applyFont="1" applyFill="1" applyBorder="1" applyAlignment="1">
      <alignment horizontal="center" vertical="center" wrapText="1"/>
    </xf>
    <xf numFmtId="0" fontId="10" fillId="0" borderId="89" xfId="0" applyFont="1" applyBorder="1" applyAlignment="1">
      <alignment horizontal="center" vertical="center" shrinkToFit="1"/>
    </xf>
    <xf numFmtId="176" fontId="10" fillId="0" borderId="1" xfId="0" applyNumberFormat="1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 wrapText="1"/>
    </xf>
    <xf numFmtId="0" fontId="10" fillId="0" borderId="71" xfId="0" applyFont="1" applyBorder="1" applyAlignment="1">
      <alignment vertical="center" wrapText="1"/>
    </xf>
    <xf numFmtId="0" fontId="10" fillId="0" borderId="64" xfId="0" applyFont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83" xfId="0" applyFont="1" applyFill="1" applyBorder="1" applyAlignment="1">
      <alignment horizontal="center" vertical="center" wrapText="1"/>
    </xf>
    <xf numFmtId="0" fontId="10" fillId="0" borderId="108" xfId="0" applyFont="1" applyBorder="1" applyAlignment="1">
      <alignment horizontal="center" vertical="center" wrapText="1"/>
    </xf>
    <xf numFmtId="0" fontId="10" fillId="0" borderId="36" xfId="0" quotePrefix="1" applyFont="1" applyBorder="1" applyAlignment="1">
      <alignment horizontal="center" vertical="center" wrapText="1"/>
    </xf>
    <xf numFmtId="49" fontId="10" fillId="0" borderId="15" xfId="0" applyNumberFormat="1" applyFont="1" applyBorder="1" applyAlignment="1">
      <alignment horizontal="center" vertical="center" wrapText="1"/>
    </xf>
    <xf numFmtId="0" fontId="10" fillId="2" borderId="109" xfId="0" applyFont="1" applyFill="1" applyBorder="1" applyAlignment="1">
      <alignment horizontal="center" vertical="center" wrapText="1"/>
    </xf>
    <xf numFmtId="0" fontId="10" fillId="2" borderId="105" xfId="0" applyFont="1" applyFill="1" applyBorder="1" applyAlignment="1">
      <alignment horizontal="center" vertical="center" wrapText="1"/>
    </xf>
    <xf numFmtId="0" fontId="10" fillId="2" borderId="31" xfId="0" applyFont="1" applyFill="1" applyBorder="1" applyAlignment="1">
      <alignment horizontal="center" vertical="center" wrapText="1"/>
    </xf>
    <xf numFmtId="0" fontId="10" fillId="0" borderId="109" xfId="0" applyFont="1" applyBorder="1" applyAlignment="1">
      <alignment horizontal="center" vertical="center" wrapText="1"/>
    </xf>
    <xf numFmtId="0" fontId="10" fillId="0" borderId="84" xfId="0" applyFont="1" applyBorder="1" applyAlignment="1">
      <alignment vertical="center" wrapText="1"/>
    </xf>
    <xf numFmtId="49" fontId="10" fillId="0" borderId="15" xfId="0" applyNumberFormat="1" applyFont="1" applyBorder="1" applyAlignment="1">
      <alignment horizontal="center" vertical="center" shrinkToFit="1"/>
    </xf>
    <xf numFmtId="49" fontId="10" fillId="0" borderId="109" xfId="0" applyNumberFormat="1" applyFont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 shrinkToFit="1"/>
    </xf>
    <xf numFmtId="0" fontId="10" fillId="2" borderId="22" xfId="0" applyFont="1" applyFill="1" applyBorder="1" applyAlignment="1">
      <alignment horizontal="center" vertical="center" wrapText="1"/>
    </xf>
    <xf numFmtId="0" fontId="10" fillId="2" borderId="110" xfId="0" applyFont="1" applyFill="1" applyBorder="1" applyAlignment="1">
      <alignment horizontal="center" vertical="center" wrapText="1"/>
    </xf>
    <xf numFmtId="0" fontId="10" fillId="0" borderId="110" xfId="0" applyFont="1" applyBorder="1" applyAlignment="1">
      <alignment horizontal="center" vertical="center" wrapText="1"/>
    </xf>
    <xf numFmtId="0" fontId="10" fillId="0" borderId="8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91" xfId="0" applyFont="1" applyBorder="1" applyAlignment="1">
      <alignment horizontal="center" vertical="center"/>
    </xf>
    <xf numFmtId="0" fontId="10" fillId="0" borderId="44" xfId="0" applyFont="1" applyBorder="1" applyAlignment="1">
      <alignment vertical="center" wrapText="1"/>
    </xf>
    <xf numFmtId="0" fontId="10" fillId="0" borderId="54" xfId="0" applyFont="1" applyBorder="1" applyAlignment="1">
      <alignment vertical="center" wrapText="1"/>
    </xf>
    <xf numFmtId="0" fontId="10" fillId="0" borderId="45" xfId="0" applyFont="1" applyBorder="1" applyAlignment="1">
      <alignment vertical="center" wrapText="1"/>
    </xf>
    <xf numFmtId="0" fontId="10" fillId="0" borderId="41" xfId="0" applyFont="1" applyBorder="1" applyAlignment="1">
      <alignment vertical="center" wrapText="1"/>
    </xf>
    <xf numFmtId="0" fontId="10" fillId="0" borderId="30" xfId="0" applyFont="1" applyBorder="1" applyAlignment="1">
      <alignment vertical="center" wrapText="1"/>
    </xf>
    <xf numFmtId="0" fontId="10" fillId="0" borderId="67" xfId="0" applyFont="1" applyBorder="1" applyAlignment="1">
      <alignment horizontal="center"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0" borderId="104" xfId="0" applyFont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112" xfId="0" quotePrefix="1" applyFont="1" applyFill="1" applyBorder="1" applyAlignment="1">
      <alignment horizontal="center" vertical="center" wrapText="1"/>
    </xf>
    <xf numFmtId="0" fontId="10" fillId="0" borderId="27" xfId="0" quotePrefix="1" applyFont="1" applyBorder="1" applyAlignment="1">
      <alignment horizontal="center" vertical="center" wrapText="1"/>
    </xf>
    <xf numFmtId="0" fontId="10" fillId="2" borderId="113" xfId="0" applyFont="1" applyFill="1" applyBorder="1" applyAlignment="1">
      <alignment horizontal="center" vertical="center" wrapText="1"/>
    </xf>
    <xf numFmtId="0" fontId="10" fillId="2" borderId="108" xfId="0" applyFont="1" applyFill="1" applyBorder="1" applyAlignment="1">
      <alignment horizontal="center" vertical="center" wrapText="1"/>
    </xf>
    <xf numFmtId="0" fontId="10" fillId="0" borderId="114" xfId="0" applyFont="1" applyBorder="1" applyAlignment="1">
      <alignment horizontal="center" vertical="center" wrapText="1"/>
    </xf>
    <xf numFmtId="0" fontId="10" fillId="0" borderId="115" xfId="0" applyFont="1" applyBorder="1" applyAlignment="1">
      <alignment horizontal="center" vertical="center" wrapText="1"/>
    </xf>
    <xf numFmtId="0" fontId="10" fillId="0" borderId="113" xfId="0" applyFont="1" applyBorder="1" applyAlignment="1">
      <alignment horizontal="center" vertical="center" wrapText="1"/>
    </xf>
    <xf numFmtId="49" fontId="10" fillId="0" borderId="116" xfId="0" applyNumberFormat="1" applyFont="1" applyBorder="1" applyAlignment="1">
      <alignment horizontal="center" vertical="center" wrapText="1"/>
    </xf>
    <xf numFmtId="49" fontId="10" fillId="0" borderId="115" xfId="0" applyNumberFormat="1" applyFont="1" applyBorder="1" applyAlignment="1">
      <alignment horizontal="center" vertical="center" wrapText="1"/>
    </xf>
    <xf numFmtId="0" fontId="10" fillId="0" borderId="116" xfId="0" applyFont="1" applyBorder="1" applyAlignment="1">
      <alignment horizontal="center" vertical="center" wrapText="1"/>
    </xf>
    <xf numFmtId="0" fontId="10" fillId="0" borderId="111" xfId="0" applyFont="1" applyBorder="1" applyAlignment="1">
      <alignment horizontal="center" vertical="center" wrapText="1"/>
    </xf>
    <xf numFmtId="0" fontId="10" fillId="0" borderId="40" xfId="0" quotePrefix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shrinkToFit="1"/>
    </xf>
    <xf numFmtId="0" fontId="10" fillId="0" borderId="44" xfId="0" quotePrefix="1" applyFont="1" applyBorder="1" applyAlignment="1">
      <alignment horizontal="center" vertical="center" wrapText="1"/>
    </xf>
    <xf numFmtId="0" fontId="9" fillId="3" borderId="93" xfId="0" applyFont="1" applyFill="1" applyBorder="1" applyAlignment="1">
      <alignment horizontal="left" vertical="top" wrapText="1"/>
    </xf>
    <xf numFmtId="0" fontId="9" fillId="3" borderId="94" xfId="0" applyFont="1" applyFill="1" applyBorder="1" applyAlignment="1">
      <alignment horizontal="left" vertical="top" wrapText="1"/>
    </xf>
    <xf numFmtId="0" fontId="9" fillId="3" borderId="95" xfId="0" applyFont="1" applyFill="1" applyBorder="1" applyAlignment="1">
      <alignment horizontal="left" vertical="top" wrapText="1"/>
    </xf>
    <xf numFmtId="0" fontId="10" fillId="0" borderId="69" xfId="0" applyFont="1" applyBorder="1" applyAlignment="1">
      <alignment horizontal="center" vertical="center" wrapText="1"/>
    </xf>
    <xf numFmtId="0" fontId="10" fillId="0" borderId="67" xfId="0" applyFont="1" applyBorder="1" applyAlignment="1">
      <alignment horizontal="center" vertical="center" wrapText="1"/>
    </xf>
    <xf numFmtId="0" fontId="10" fillId="0" borderId="68" xfId="0" applyFont="1" applyBorder="1" applyAlignment="1">
      <alignment horizontal="center" vertical="center" wrapText="1"/>
    </xf>
    <xf numFmtId="0" fontId="10" fillId="0" borderId="79" xfId="0" applyFont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63" xfId="0" applyFont="1" applyFill="1" applyBorder="1" applyAlignment="1">
      <alignment horizontal="center" vertical="center" wrapText="1"/>
    </xf>
    <xf numFmtId="0" fontId="10" fillId="2" borderId="43" xfId="0" applyFont="1" applyFill="1" applyBorder="1" applyAlignment="1">
      <alignment horizontal="center" vertical="center" wrapText="1"/>
    </xf>
    <xf numFmtId="0" fontId="10" fillId="2" borderId="46" xfId="0" applyFont="1" applyFill="1" applyBorder="1" applyAlignment="1">
      <alignment horizontal="center" vertical="center" wrapText="1"/>
    </xf>
    <xf numFmtId="0" fontId="10" fillId="0" borderId="85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82" xfId="0" applyFont="1" applyBorder="1" applyAlignment="1">
      <alignment horizontal="center" vertical="center" wrapText="1"/>
    </xf>
    <xf numFmtId="0" fontId="10" fillId="0" borderId="60" xfId="0" applyFont="1" applyBorder="1" applyAlignment="1">
      <alignment horizontal="center" vertical="center" wrapText="1"/>
    </xf>
    <xf numFmtId="0" fontId="10" fillId="0" borderId="6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4" borderId="99" xfId="0" applyFont="1" applyFill="1" applyBorder="1" applyAlignment="1">
      <alignment horizontal="center" vertical="center" wrapText="1"/>
    </xf>
    <xf numFmtId="0" fontId="10" fillId="4" borderId="96" xfId="0" applyFont="1" applyFill="1" applyBorder="1" applyAlignment="1">
      <alignment horizontal="center" vertical="center" wrapText="1"/>
    </xf>
    <xf numFmtId="0" fontId="10" fillId="4" borderId="100" xfId="0" applyFont="1" applyFill="1" applyBorder="1" applyAlignment="1">
      <alignment horizontal="center" vertical="center" wrapText="1"/>
    </xf>
    <xf numFmtId="0" fontId="10" fillId="4" borderId="50" xfId="0" applyFont="1" applyFill="1" applyBorder="1" applyAlignment="1">
      <alignment horizontal="center" vertical="center" wrapText="1"/>
    </xf>
    <xf numFmtId="0" fontId="10" fillId="4" borderId="78" xfId="0" applyFont="1" applyFill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9" fillId="0" borderId="49" xfId="0" applyFont="1" applyBorder="1" applyAlignment="1">
      <alignment horizontal="center" vertical="center" wrapText="1"/>
    </xf>
    <xf numFmtId="0" fontId="9" fillId="0" borderId="58" xfId="0" applyFont="1" applyBorder="1" applyAlignment="1">
      <alignment horizontal="center" vertical="center" wrapText="1"/>
    </xf>
    <xf numFmtId="0" fontId="10" fillId="0" borderId="101" xfId="0" applyFont="1" applyBorder="1" applyAlignment="1">
      <alignment horizontal="center" vertical="center" wrapText="1"/>
    </xf>
    <xf numFmtId="0" fontId="10" fillId="0" borderId="90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2" fillId="3" borderId="64" xfId="0" applyFont="1" applyFill="1" applyBorder="1" applyAlignment="1">
      <alignment horizontal="center" vertical="center" wrapText="1"/>
    </xf>
    <xf numFmtId="0" fontId="2" fillId="3" borderId="59" xfId="0" applyFont="1" applyFill="1" applyBorder="1" applyAlignment="1">
      <alignment horizontal="center" vertical="center" wrapText="1"/>
    </xf>
    <xf numFmtId="0" fontId="2" fillId="3" borderId="63" xfId="0" applyFont="1" applyFill="1" applyBorder="1" applyAlignment="1">
      <alignment horizontal="center" vertical="center" wrapText="1"/>
    </xf>
    <xf numFmtId="0" fontId="2" fillId="3" borderId="46" xfId="0" applyFont="1" applyFill="1" applyBorder="1" applyAlignment="1">
      <alignment horizontal="center" vertical="center" wrapText="1"/>
    </xf>
    <xf numFmtId="0" fontId="10" fillId="0" borderId="57" xfId="0" applyFont="1" applyBorder="1" applyAlignment="1">
      <alignment horizontal="center" vertical="center" wrapText="1"/>
    </xf>
    <xf numFmtId="0" fontId="10" fillId="0" borderId="5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8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82" xfId="0" applyFont="1" applyFill="1" applyBorder="1" applyAlignment="1">
      <alignment horizontal="center" vertical="center" wrapText="1"/>
    </xf>
    <xf numFmtId="0" fontId="10" fillId="0" borderId="50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10" fillId="0" borderId="6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3" borderId="47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3" borderId="58" xfId="0" applyFont="1" applyFill="1" applyBorder="1" applyAlignment="1">
      <alignment horizontal="center" vertical="center" wrapText="1"/>
    </xf>
    <xf numFmtId="0" fontId="2" fillId="3" borderId="66" xfId="0" applyFont="1" applyFill="1" applyBorder="1" applyAlignment="1">
      <alignment horizontal="center" vertical="center" wrapText="1"/>
    </xf>
    <xf numFmtId="0" fontId="2" fillId="3" borderId="67" xfId="0" applyFont="1" applyFill="1" applyBorder="1" applyAlignment="1">
      <alignment horizontal="center" vertical="center" wrapText="1"/>
    </xf>
    <xf numFmtId="0" fontId="2" fillId="3" borderId="79" xfId="0" applyFont="1" applyFill="1" applyBorder="1" applyAlignment="1">
      <alignment horizontal="center" vertical="center" wrapText="1"/>
    </xf>
    <xf numFmtId="0" fontId="2" fillId="3" borderId="48" xfId="0" applyFont="1" applyFill="1" applyBorder="1" applyAlignment="1">
      <alignment horizontal="center" vertical="center" wrapText="1"/>
    </xf>
    <xf numFmtId="0" fontId="2" fillId="3" borderId="50" xfId="0" applyFont="1" applyFill="1" applyBorder="1" applyAlignment="1">
      <alignment horizontal="center" vertical="center" wrapText="1"/>
    </xf>
    <xf numFmtId="0" fontId="2" fillId="3" borderId="7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62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0" fillId="0" borderId="103" xfId="0" applyFont="1" applyBorder="1" applyAlignment="1">
      <alignment horizontal="center" vertical="center" wrapText="1"/>
    </xf>
    <xf numFmtId="0" fontId="10" fillId="0" borderId="104" xfId="0" applyFont="1" applyBorder="1" applyAlignment="1">
      <alignment horizontal="center" vertical="center" wrapText="1"/>
    </xf>
    <xf numFmtId="0" fontId="10" fillId="0" borderId="74" xfId="0" applyFont="1" applyBorder="1" applyAlignment="1">
      <alignment horizontal="center" vertical="center" wrapText="1"/>
    </xf>
    <xf numFmtId="0" fontId="10" fillId="0" borderId="75" xfId="0" applyFont="1" applyBorder="1" applyAlignment="1">
      <alignment horizontal="center" vertical="center" wrapText="1"/>
    </xf>
    <xf numFmtId="0" fontId="10" fillId="0" borderId="62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0" fillId="0" borderId="86" xfId="0" applyFont="1" applyBorder="1" applyAlignment="1">
      <alignment horizontal="center" vertical="center" wrapText="1"/>
    </xf>
    <xf numFmtId="0" fontId="10" fillId="0" borderId="64" xfId="0" applyFont="1" applyBorder="1" applyAlignment="1">
      <alignment horizontal="center" vertical="center" wrapText="1"/>
    </xf>
    <xf numFmtId="0" fontId="10" fillId="0" borderId="87" xfId="0" applyFont="1" applyBorder="1" applyAlignment="1">
      <alignment horizontal="center" vertical="center" wrapText="1"/>
    </xf>
    <xf numFmtId="0" fontId="10" fillId="0" borderId="88" xfId="0" applyFont="1" applyBorder="1" applyAlignment="1">
      <alignment horizontal="center" vertical="center" wrapText="1"/>
    </xf>
    <xf numFmtId="0" fontId="10" fillId="2" borderId="106" xfId="0" applyFont="1" applyFill="1" applyBorder="1" applyAlignment="1">
      <alignment horizontal="center" vertical="center" wrapText="1"/>
    </xf>
    <xf numFmtId="0" fontId="10" fillId="2" borderId="107" xfId="0" applyFont="1" applyFill="1" applyBorder="1" applyAlignment="1">
      <alignment horizontal="center"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0" fillId="2" borderId="59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0" fillId="0" borderId="92" xfId="0" applyFont="1" applyBorder="1" applyAlignment="1">
      <alignment horizontal="center" vertical="center"/>
    </xf>
    <xf numFmtId="0" fontId="10" fillId="0" borderId="88" xfId="0" applyFont="1" applyBorder="1" applyAlignment="1">
      <alignment horizontal="center" vertical="center"/>
    </xf>
    <xf numFmtId="0" fontId="10" fillId="0" borderId="102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92" xfId="0" applyFont="1" applyFill="1" applyBorder="1" applyAlignment="1">
      <alignment horizontal="center" vertical="center"/>
    </xf>
  </cellXfs>
  <cellStyles count="1">
    <cellStyle name="표준" xfId="0" builtinId="0"/>
  </cellStyles>
  <dxfs count="30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 xr9:uid="{00000000-0011-0000-FFFF-FFFF00000000}">
      <tableStyleElement type="wholeTable" dxfId="29"/>
    </tableStyle>
    <tableStyle name="표 스타일 2" pivot="0" count="1" xr9:uid="{00000000-0011-0000-FFFF-FFFF01000000}">
      <tableStyleElement type="lastColumn" dxfId="28"/>
    </tableStyle>
  </tableStyles>
  <colors>
    <mruColors>
      <color rgb="FFF4FBCD"/>
      <color rgb="FFD5F03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67</xdr:row>
      <xdr:rowOff>175260</xdr:rowOff>
    </xdr:from>
    <xdr:to>
      <xdr:col>9</xdr:col>
      <xdr:colOff>50674</xdr:colOff>
      <xdr:row>80</xdr:row>
      <xdr:rowOff>54963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3834ED7-098B-4449-BA66-EE599DC67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28220"/>
          <a:ext cx="6085714" cy="22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30480</xdr:rowOff>
    </xdr:from>
    <xdr:to>
      <xdr:col>6</xdr:col>
      <xdr:colOff>224259</xdr:colOff>
      <xdr:row>104</xdr:row>
      <xdr:rowOff>98503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9C1BE7EE-71F8-408A-AFEF-8A22A6207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60880"/>
          <a:ext cx="4247619" cy="4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83820</xdr:rowOff>
    </xdr:from>
    <xdr:to>
      <xdr:col>8</xdr:col>
      <xdr:colOff>273615</xdr:colOff>
      <xdr:row>128</xdr:row>
      <xdr:rowOff>104224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FBF1F749-0A99-4A1A-B037-3FCD44DAC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103340"/>
          <a:ext cx="5638095" cy="44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469722</xdr:colOff>
      <xdr:row>16</xdr:row>
      <xdr:rowOff>112015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23447CD6-B842-4626-B9F3-B78E14AFD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6504762" cy="30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60960</xdr:rowOff>
    </xdr:from>
    <xdr:to>
      <xdr:col>8</xdr:col>
      <xdr:colOff>349806</xdr:colOff>
      <xdr:row>42</xdr:row>
      <xdr:rowOff>115604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F4667A51-1A55-4A9E-9866-059B11050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987040"/>
          <a:ext cx="5714286" cy="4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42</xdr:row>
      <xdr:rowOff>144780</xdr:rowOff>
    </xdr:from>
    <xdr:to>
      <xdr:col>10</xdr:col>
      <xdr:colOff>350520</xdr:colOff>
      <xdr:row>67</xdr:row>
      <xdr:rowOff>155680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5453680-7BA5-4840-8A3C-D2E47BEC7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" y="7825740"/>
          <a:ext cx="7040880" cy="458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표3" displayName="표3" ref="E7:H70" headerRowCount="0" totalsRowShown="0" headerRowDxfId="27" dataDxfId="26" tableBorderDxfId="25">
  <tableColumns count="4">
    <tableColumn id="1" xr3:uid="{00000000-0010-0000-0000-000001000000}" name="기준_x000a_학점" headerRowDxfId="24" dataDxfId="23">
      <calculatedColumnFormula>IFERROR(VLOOKUP(D7, 기본학점, 2, FALSE), "")</calculatedColumnFormula>
    </tableColumn>
    <tableColumn id="2" xr3:uid="{00000000-0010-0000-0000-000002000000}" name="운영_x000a_학점" headerRowDxfId="22" dataDxfId="21"/>
    <tableColumn id="3" xr3:uid="{82C667D2-710B-40AD-A5FC-293A4124AE88}" name="세로 막대형1" headerRowDxfId="20" dataDxfId="19"/>
    <tableColumn id="4" xr3:uid="{687CF4F7-8CF6-4E3F-B81A-62A0DFBA5DFD}" name="세로 막대형2" headerRowDxfId="18" dataDxfId="17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89"/>
  <sheetViews>
    <sheetView tabSelected="1" zoomScale="115" zoomScaleNormal="115" zoomScaleSheetLayoutView="100" workbookViewId="0">
      <selection activeCell="M51" sqref="M51"/>
    </sheetView>
  </sheetViews>
  <sheetFormatPr defaultRowHeight="14.4" x14ac:dyDescent="0.25"/>
  <cols>
    <col min="1" max="1" width="5.19921875" style="4" customWidth="1"/>
    <col min="2" max="2" width="13.5" style="3" customWidth="1"/>
    <col min="3" max="3" width="7.59765625" style="3" customWidth="1"/>
    <col min="4" max="4" width="22" style="3" customWidth="1"/>
    <col min="5" max="12" width="5.796875" style="3" customWidth="1"/>
    <col min="13" max="14" width="13.69921875" style="3" customWidth="1"/>
    <col min="15" max="16" width="5.796875" style="3" customWidth="1"/>
    <col min="234" max="234" width="3.59765625" customWidth="1"/>
    <col min="235" max="237" width="5.796875" customWidth="1"/>
    <col min="238" max="238" width="11.09765625" customWidth="1"/>
    <col min="239" max="246" width="5.796875" customWidth="1"/>
    <col min="247" max="247" width="7.09765625" customWidth="1"/>
    <col min="248" max="249" width="5.796875" customWidth="1"/>
    <col min="250" max="250" width="6" customWidth="1"/>
    <col min="490" max="490" width="3.59765625" customWidth="1"/>
    <col min="491" max="493" width="5.796875" customWidth="1"/>
    <col min="494" max="494" width="11.09765625" customWidth="1"/>
    <col min="495" max="502" width="5.796875" customWidth="1"/>
    <col min="503" max="503" width="7.09765625" customWidth="1"/>
    <col min="504" max="505" width="5.796875" customWidth="1"/>
    <col min="506" max="506" width="6" customWidth="1"/>
    <col min="746" max="746" width="3.59765625" customWidth="1"/>
    <col min="747" max="749" width="5.796875" customWidth="1"/>
    <col min="750" max="750" width="11.09765625" customWidth="1"/>
    <col min="751" max="758" width="5.796875" customWidth="1"/>
    <col min="759" max="759" width="7.09765625" customWidth="1"/>
    <col min="760" max="761" width="5.796875" customWidth="1"/>
    <col min="762" max="762" width="6" customWidth="1"/>
    <col min="1002" max="1002" width="3.59765625" customWidth="1"/>
    <col min="1003" max="1005" width="5.796875" customWidth="1"/>
    <col min="1006" max="1006" width="11.09765625" customWidth="1"/>
    <col min="1007" max="1014" width="5.796875" customWidth="1"/>
    <col min="1015" max="1015" width="7.09765625" customWidth="1"/>
    <col min="1016" max="1017" width="5.796875" customWidth="1"/>
    <col min="1018" max="1018" width="6" customWidth="1"/>
    <col min="1258" max="1258" width="3.59765625" customWidth="1"/>
    <col min="1259" max="1261" width="5.796875" customWidth="1"/>
    <col min="1262" max="1262" width="11.09765625" customWidth="1"/>
    <col min="1263" max="1270" width="5.796875" customWidth="1"/>
    <col min="1271" max="1271" width="7.09765625" customWidth="1"/>
    <col min="1272" max="1273" width="5.796875" customWidth="1"/>
    <col min="1274" max="1274" width="6" customWidth="1"/>
    <col min="1514" max="1514" width="3.59765625" customWidth="1"/>
    <col min="1515" max="1517" width="5.796875" customWidth="1"/>
    <col min="1518" max="1518" width="11.09765625" customWidth="1"/>
    <col min="1519" max="1526" width="5.796875" customWidth="1"/>
    <col min="1527" max="1527" width="7.09765625" customWidth="1"/>
    <col min="1528" max="1529" width="5.796875" customWidth="1"/>
    <col min="1530" max="1530" width="6" customWidth="1"/>
    <col min="1770" max="1770" width="3.59765625" customWidth="1"/>
    <col min="1771" max="1773" width="5.796875" customWidth="1"/>
    <col min="1774" max="1774" width="11.09765625" customWidth="1"/>
    <col min="1775" max="1782" width="5.796875" customWidth="1"/>
    <col min="1783" max="1783" width="7.09765625" customWidth="1"/>
    <col min="1784" max="1785" width="5.796875" customWidth="1"/>
    <col min="1786" max="1786" width="6" customWidth="1"/>
    <col min="2026" max="2026" width="3.59765625" customWidth="1"/>
    <col min="2027" max="2029" width="5.796875" customWidth="1"/>
    <col min="2030" max="2030" width="11.09765625" customWidth="1"/>
    <col min="2031" max="2038" width="5.796875" customWidth="1"/>
    <col min="2039" max="2039" width="7.09765625" customWidth="1"/>
    <col min="2040" max="2041" width="5.796875" customWidth="1"/>
    <col min="2042" max="2042" width="6" customWidth="1"/>
    <col min="2282" max="2282" width="3.59765625" customWidth="1"/>
    <col min="2283" max="2285" width="5.796875" customWidth="1"/>
    <col min="2286" max="2286" width="11.09765625" customWidth="1"/>
    <col min="2287" max="2294" width="5.796875" customWidth="1"/>
    <col min="2295" max="2295" width="7.09765625" customWidth="1"/>
    <col min="2296" max="2297" width="5.796875" customWidth="1"/>
    <col min="2298" max="2298" width="6" customWidth="1"/>
    <col min="2538" max="2538" width="3.59765625" customWidth="1"/>
    <col min="2539" max="2541" width="5.796875" customWidth="1"/>
    <col min="2542" max="2542" width="11.09765625" customWidth="1"/>
    <col min="2543" max="2550" width="5.796875" customWidth="1"/>
    <col min="2551" max="2551" width="7.09765625" customWidth="1"/>
    <col min="2552" max="2553" width="5.796875" customWidth="1"/>
    <col min="2554" max="2554" width="6" customWidth="1"/>
    <col min="2794" max="2794" width="3.59765625" customWidth="1"/>
    <col min="2795" max="2797" width="5.796875" customWidth="1"/>
    <col min="2798" max="2798" width="11.09765625" customWidth="1"/>
    <col min="2799" max="2806" width="5.796875" customWidth="1"/>
    <col min="2807" max="2807" width="7.09765625" customWidth="1"/>
    <col min="2808" max="2809" width="5.796875" customWidth="1"/>
    <col min="2810" max="2810" width="6" customWidth="1"/>
    <col min="3050" max="3050" width="3.59765625" customWidth="1"/>
    <col min="3051" max="3053" width="5.796875" customWidth="1"/>
    <col min="3054" max="3054" width="11.09765625" customWidth="1"/>
    <col min="3055" max="3062" width="5.796875" customWidth="1"/>
    <col min="3063" max="3063" width="7.09765625" customWidth="1"/>
    <col min="3064" max="3065" width="5.796875" customWidth="1"/>
    <col min="3066" max="3066" width="6" customWidth="1"/>
    <col min="3306" max="3306" width="3.59765625" customWidth="1"/>
    <col min="3307" max="3309" width="5.796875" customWidth="1"/>
    <col min="3310" max="3310" width="11.09765625" customWidth="1"/>
    <col min="3311" max="3318" width="5.796875" customWidth="1"/>
    <col min="3319" max="3319" width="7.09765625" customWidth="1"/>
    <col min="3320" max="3321" width="5.796875" customWidth="1"/>
    <col min="3322" max="3322" width="6" customWidth="1"/>
    <col min="3562" max="3562" width="3.59765625" customWidth="1"/>
    <col min="3563" max="3565" width="5.796875" customWidth="1"/>
    <col min="3566" max="3566" width="11.09765625" customWidth="1"/>
    <col min="3567" max="3574" width="5.796875" customWidth="1"/>
    <col min="3575" max="3575" width="7.09765625" customWidth="1"/>
    <col min="3576" max="3577" width="5.796875" customWidth="1"/>
    <col min="3578" max="3578" width="6" customWidth="1"/>
    <col min="3818" max="3818" width="3.59765625" customWidth="1"/>
    <col min="3819" max="3821" width="5.796875" customWidth="1"/>
    <col min="3822" max="3822" width="11.09765625" customWidth="1"/>
    <col min="3823" max="3830" width="5.796875" customWidth="1"/>
    <col min="3831" max="3831" width="7.09765625" customWidth="1"/>
    <col min="3832" max="3833" width="5.796875" customWidth="1"/>
    <col min="3834" max="3834" width="6" customWidth="1"/>
    <col min="4074" max="4074" width="3.59765625" customWidth="1"/>
    <col min="4075" max="4077" width="5.796875" customWidth="1"/>
    <col min="4078" max="4078" width="11.09765625" customWidth="1"/>
    <col min="4079" max="4086" width="5.796875" customWidth="1"/>
    <col min="4087" max="4087" width="7.09765625" customWidth="1"/>
    <col min="4088" max="4089" width="5.796875" customWidth="1"/>
    <col min="4090" max="4090" width="6" customWidth="1"/>
    <col min="4330" max="4330" width="3.59765625" customWidth="1"/>
    <col min="4331" max="4333" width="5.796875" customWidth="1"/>
    <col min="4334" max="4334" width="11.09765625" customWidth="1"/>
    <col min="4335" max="4342" width="5.796875" customWidth="1"/>
    <col min="4343" max="4343" width="7.09765625" customWidth="1"/>
    <col min="4344" max="4345" width="5.796875" customWidth="1"/>
    <col min="4346" max="4346" width="6" customWidth="1"/>
    <col min="4586" max="4586" width="3.59765625" customWidth="1"/>
    <col min="4587" max="4589" width="5.796875" customWidth="1"/>
    <col min="4590" max="4590" width="11.09765625" customWidth="1"/>
    <col min="4591" max="4598" width="5.796875" customWidth="1"/>
    <col min="4599" max="4599" width="7.09765625" customWidth="1"/>
    <col min="4600" max="4601" width="5.796875" customWidth="1"/>
    <col min="4602" max="4602" width="6" customWidth="1"/>
    <col min="4842" max="4842" width="3.59765625" customWidth="1"/>
    <col min="4843" max="4845" width="5.796875" customWidth="1"/>
    <col min="4846" max="4846" width="11.09765625" customWidth="1"/>
    <col min="4847" max="4854" width="5.796875" customWidth="1"/>
    <col min="4855" max="4855" width="7.09765625" customWidth="1"/>
    <col min="4856" max="4857" width="5.796875" customWidth="1"/>
    <col min="4858" max="4858" width="6" customWidth="1"/>
    <col min="5098" max="5098" width="3.59765625" customWidth="1"/>
    <col min="5099" max="5101" width="5.796875" customWidth="1"/>
    <col min="5102" max="5102" width="11.09765625" customWidth="1"/>
    <col min="5103" max="5110" width="5.796875" customWidth="1"/>
    <col min="5111" max="5111" width="7.09765625" customWidth="1"/>
    <col min="5112" max="5113" width="5.796875" customWidth="1"/>
    <col min="5114" max="5114" width="6" customWidth="1"/>
    <col min="5354" max="5354" width="3.59765625" customWidth="1"/>
    <col min="5355" max="5357" width="5.796875" customWidth="1"/>
    <col min="5358" max="5358" width="11.09765625" customWidth="1"/>
    <col min="5359" max="5366" width="5.796875" customWidth="1"/>
    <col min="5367" max="5367" width="7.09765625" customWidth="1"/>
    <col min="5368" max="5369" width="5.796875" customWidth="1"/>
    <col min="5370" max="5370" width="6" customWidth="1"/>
    <col min="5610" max="5610" width="3.59765625" customWidth="1"/>
    <col min="5611" max="5613" width="5.796875" customWidth="1"/>
    <col min="5614" max="5614" width="11.09765625" customWidth="1"/>
    <col min="5615" max="5622" width="5.796875" customWidth="1"/>
    <col min="5623" max="5623" width="7.09765625" customWidth="1"/>
    <col min="5624" max="5625" width="5.796875" customWidth="1"/>
    <col min="5626" max="5626" width="6" customWidth="1"/>
    <col min="5866" max="5866" width="3.59765625" customWidth="1"/>
    <col min="5867" max="5869" width="5.796875" customWidth="1"/>
    <col min="5870" max="5870" width="11.09765625" customWidth="1"/>
    <col min="5871" max="5878" width="5.796875" customWidth="1"/>
    <col min="5879" max="5879" width="7.09765625" customWidth="1"/>
    <col min="5880" max="5881" width="5.796875" customWidth="1"/>
    <col min="5882" max="5882" width="6" customWidth="1"/>
    <col min="6122" max="6122" width="3.59765625" customWidth="1"/>
    <col min="6123" max="6125" width="5.796875" customWidth="1"/>
    <col min="6126" max="6126" width="11.09765625" customWidth="1"/>
    <col min="6127" max="6134" width="5.796875" customWidth="1"/>
    <col min="6135" max="6135" width="7.09765625" customWidth="1"/>
    <col min="6136" max="6137" width="5.796875" customWidth="1"/>
    <col min="6138" max="6138" width="6" customWidth="1"/>
    <col min="6378" max="6378" width="3.59765625" customWidth="1"/>
    <col min="6379" max="6381" width="5.796875" customWidth="1"/>
    <col min="6382" max="6382" width="11.09765625" customWidth="1"/>
    <col min="6383" max="6390" width="5.796875" customWidth="1"/>
    <col min="6391" max="6391" width="7.09765625" customWidth="1"/>
    <col min="6392" max="6393" width="5.796875" customWidth="1"/>
    <col min="6394" max="6394" width="6" customWidth="1"/>
    <col min="6634" max="6634" width="3.59765625" customWidth="1"/>
    <col min="6635" max="6637" width="5.796875" customWidth="1"/>
    <col min="6638" max="6638" width="11.09765625" customWidth="1"/>
    <col min="6639" max="6646" width="5.796875" customWidth="1"/>
    <col min="6647" max="6647" width="7.09765625" customWidth="1"/>
    <col min="6648" max="6649" width="5.796875" customWidth="1"/>
    <col min="6650" max="6650" width="6" customWidth="1"/>
    <col min="6890" max="6890" width="3.59765625" customWidth="1"/>
    <col min="6891" max="6893" width="5.796875" customWidth="1"/>
    <col min="6894" max="6894" width="11.09765625" customWidth="1"/>
    <col min="6895" max="6902" width="5.796875" customWidth="1"/>
    <col min="6903" max="6903" width="7.09765625" customWidth="1"/>
    <col min="6904" max="6905" width="5.796875" customWidth="1"/>
    <col min="6906" max="6906" width="6" customWidth="1"/>
    <col min="7146" max="7146" width="3.59765625" customWidth="1"/>
    <col min="7147" max="7149" width="5.796875" customWidth="1"/>
    <col min="7150" max="7150" width="11.09765625" customWidth="1"/>
    <col min="7151" max="7158" width="5.796875" customWidth="1"/>
    <col min="7159" max="7159" width="7.09765625" customWidth="1"/>
    <col min="7160" max="7161" width="5.796875" customWidth="1"/>
    <col min="7162" max="7162" width="6" customWidth="1"/>
    <col min="7402" max="7402" width="3.59765625" customWidth="1"/>
    <col min="7403" max="7405" width="5.796875" customWidth="1"/>
    <col min="7406" max="7406" width="11.09765625" customWidth="1"/>
    <col min="7407" max="7414" width="5.796875" customWidth="1"/>
    <col min="7415" max="7415" width="7.09765625" customWidth="1"/>
    <col min="7416" max="7417" width="5.796875" customWidth="1"/>
    <col min="7418" max="7418" width="6" customWidth="1"/>
    <col min="7658" max="7658" width="3.59765625" customWidth="1"/>
    <col min="7659" max="7661" width="5.796875" customWidth="1"/>
    <col min="7662" max="7662" width="11.09765625" customWidth="1"/>
    <col min="7663" max="7670" width="5.796875" customWidth="1"/>
    <col min="7671" max="7671" width="7.09765625" customWidth="1"/>
    <col min="7672" max="7673" width="5.796875" customWidth="1"/>
    <col min="7674" max="7674" width="6" customWidth="1"/>
    <col min="7914" max="7914" width="3.59765625" customWidth="1"/>
    <col min="7915" max="7917" width="5.796875" customWidth="1"/>
    <col min="7918" max="7918" width="11.09765625" customWidth="1"/>
    <col min="7919" max="7926" width="5.796875" customWidth="1"/>
    <col min="7927" max="7927" width="7.09765625" customWidth="1"/>
    <col min="7928" max="7929" width="5.796875" customWidth="1"/>
    <col min="7930" max="7930" width="6" customWidth="1"/>
    <col min="8170" max="8170" width="3.59765625" customWidth="1"/>
    <col min="8171" max="8173" width="5.796875" customWidth="1"/>
    <col min="8174" max="8174" width="11.09765625" customWidth="1"/>
    <col min="8175" max="8182" width="5.796875" customWidth="1"/>
    <col min="8183" max="8183" width="7.09765625" customWidth="1"/>
    <col min="8184" max="8185" width="5.796875" customWidth="1"/>
    <col min="8186" max="8186" width="6" customWidth="1"/>
    <col min="8426" max="8426" width="3.59765625" customWidth="1"/>
    <col min="8427" max="8429" width="5.796875" customWidth="1"/>
    <col min="8430" max="8430" width="11.09765625" customWidth="1"/>
    <col min="8431" max="8438" width="5.796875" customWidth="1"/>
    <col min="8439" max="8439" width="7.09765625" customWidth="1"/>
    <col min="8440" max="8441" width="5.796875" customWidth="1"/>
    <col min="8442" max="8442" width="6" customWidth="1"/>
    <col min="8682" max="8682" width="3.59765625" customWidth="1"/>
    <col min="8683" max="8685" width="5.796875" customWidth="1"/>
    <col min="8686" max="8686" width="11.09765625" customWidth="1"/>
    <col min="8687" max="8694" width="5.796875" customWidth="1"/>
    <col min="8695" max="8695" width="7.09765625" customWidth="1"/>
    <col min="8696" max="8697" width="5.796875" customWidth="1"/>
    <col min="8698" max="8698" width="6" customWidth="1"/>
    <col min="8938" max="8938" width="3.59765625" customWidth="1"/>
    <col min="8939" max="8941" width="5.796875" customWidth="1"/>
    <col min="8942" max="8942" width="11.09765625" customWidth="1"/>
    <col min="8943" max="8950" width="5.796875" customWidth="1"/>
    <col min="8951" max="8951" width="7.09765625" customWidth="1"/>
    <col min="8952" max="8953" width="5.796875" customWidth="1"/>
    <col min="8954" max="8954" width="6" customWidth="1"/>
    <col min="9194" max="9194" width="3.59765625" customWidth="1"/>
    <col min="9195" max="9197" width="5.796875" customWidth="1"/>
    <col min="9198" max="9198" width="11.09765625" customWidth="1"/>
    <col min="9199" max="9206" width="5.796875" customWidth="1"/>
    <col min="9207" max="9207" width="7.09765625" customWidth="1"/>
    <col min="9208" max="9209" width="5.796875" customWidth="1"/>
    <col min="9210" max="9210" width="6" customWidth="1"/>
    <col min="9450" max="9450" width="3.59765625" customWidth="1"/>
    <col min="9451" max="9453" width="5.796875" customWidth="1"/>
    <col min="9454" max="9454" width="11.09765625" customWidth="1"/>
    <col min="9455" max="9462" width="5.796875" customWidth="1"/>
    <col min="9463" max="9463" width="7.09765625" customWidth="1"/>
    <col min="9464" max="9465" width="5.796875" customWidth="1"/>
    <col min="9466" max="9466" width="6" customWidth="1"/>
    <col min="9706" max="9706" width="3.59765625" customWidth="1"/>
    <col min="9707" max="9709" width="5.796875" customWidth="1"/>
    <col min="9710" max="9710" width="11.09765625" customWidth="1"/>
    <col min="9711" max="9718" width="5.796875" customWidth="1"/>
    <col min="9719" max="9719" width="7.09765625" customWidth="1"/>
    <col min="9720" max="9721" width="5.796875" customWidth="1"/>
    <col min="9722" max="9722" width="6" customWidth="1"/>
    <col min="9962" max="9962" width="3.59765625" customWidth="1"/>
    <col min="9963" max="9965" width="5.796875" customWidth="1"/>
    <col min="9966" max="9966" width="11.09765625" customWidth="1"/>
    <col min="9967" max="9974" width="5.796875" customWidth="1"/>
    <col min="9975" max="9975" width="7.09765625" customWidth="1"/>
    <col min="9976" max="9977" width="5.796875" customWidth="1"/>
    <col min="9978" max="9978" width="6" customWidth="1"/>
    <col min="10218" max="10218" width="3.59765625" customWidth="1"/>
    <col min="10219" max="10221" width="5.796875" customWidth="1"/>
    <col min="10222" max="10222" width="11.09765625" customWidth="1"/>
    <col min="10223" max="10230" width="5.796875" customWidth="1"/>
    <col min="10231" max="10231" width="7.09765625" customWidth="1"/>
    <col min="10232" max="10233" width="5.796875" customWidth="1"/>
    <col min="10234" max="10234" width="6" customWidth="1"/>
    <col min="10474" max="10474" width="3.59765625" customWidth="1"/>
    <col min="10475" max="10477" width="5.796875" customWidth="1"/>
    <col min="10478" max="10478" width="11.09765625" customWidth="1"/>
    <col min="10479" max="10486" width="5.796875" customWidth="1"/>
    <col min="10487" max="10487" width="7.09765625" customWidth="1"/>
    <col min="10488" max="10489" width="5.796875" customWidth="1"/>
    <col min="10490" max="10490" width="6" customWidth="1"/>
    <col min="10730" max="10730" width="3.59765625" customWidth="1"/>
    <col min="10731" max="10733" width="5.796875" customWidth="1"/>
    <col min="10734" max="10734" width="11.09765625" customWidth="1"/>
    <col min="10735" max="10742" width="5.796875" customWidth="1"/>
    <col min="10743" max="10743" width="7.09765625" customWidth="1"/>
    <col min="10744" max="10745" width="5.796875" customWidth="1"/>
    <col min="10746" max="10746" width="6" customWidth="1"/>
    <col min="10986" max="10986" width="3.59765625" customWidth="1"/>
    <col min="10987" max="10989" width="5.796875" customWidth="1"/>
    <col min="10990" max="10990" width="11.09765625" customWidth="1"/>
    <col min="10991" max="10998" width="5.796875" customWidth="1"/>
    <col min="10999" max="10999" width="7.09765625" customWidth="1"/>
    <col min="11000" max="11001" width="5.796875" customWidth="1"/>
    <col min="11002" max="11002" width="6" customWidth="1"/>
    <col min="11242" max="11242" width="3.59765625" customWidth="1"/>
    <col min="11243" max="11245" width="5.796875" customWidth="1"/>
    <col min="11246" max="11246" width="11.09765625" customWidth="1"/>
    <col min="11247" max="11254" width="5.796875" customWidth="1"/>
    <col min="11255" max="11255" width="7.09765625" customWidth="1"/>
    <col min="11256" max="11257" width="5.796875" customWidth="1"/>
    <col min="11258" max="11258" width="6" customWidth="1"/>
    <col min="11498" max="11498" width="3.59765625" customWidth="1"/>
    <col min="11499" max="11501" width="5.796875" customWidth="1"/>
    <col min="11502" max="11502" width="11.09765625" customWidth="1"/>
    <col min="11503" max="11510" width="5.796875" customWidth="1"/>
    <col min="11511" max="11511" width="7.09765625" customWidth="1"/>
    <col min="11512" max="11513" width="5.796875" customWidth="1"/>
    <col min="11514" max="11514" width="6" customWidth="1"/>
    <col min="11754" max="11754" width="3.59765625" customWidth="1"/>
    <col min="11755" max="11757" width="5.796875" customWidth="1"/>
    <col min="11758" max="11758" width="11.09765625" customWidth="1"/>
    <col min="11759" max="11766" width="5.796875" customWidth="1"/>
    <col min="11767" max="11767" width="7.09765625" customWidth="1"/>
    <col min="11768" max="11769" width="5.796875" customWidth="1"/>
    <col min="11770" max="11770" width="6" customWidth="1"/>
    <col min="12010" max="12010" width="3.59765625" customWidth="1"/>
    <col min="12011" max="12013" width="5.796875" customWidth="1"/>
    <col min="12014" max="12014" width="11.09765625" customWidth="1"/>
    <col min="12015" max="12022" width="5.796875" customWidth="1"/>
    <col min="12023" max="12023" width="7.09765625" customWidth="1"/>
    <col min="12024" max="12025" width="5.796875" customWidth="1"/>
    <col min="12026" max="12026" width="6" customWidth="1"/>
    <col min="12266" max="12266" width="3.59765625" customWidth="1"/>
    <col min="12267" max="12269" width="5.796875" customWidth="1"/>
    <col min="12270" max="12270" width="11.09765625" customWidth="1"/>
    <col min="12271" max="12278" width="5.796875" customWidth="1"/>
    <col min="12279" max="12279" width="7.09765625" customWidth="1"/>
    <col min="12280" max="12281" width="5.796875" customWidth="1"/>
    <col min="12282" max="12282" width="6" customWidth="1"/>
    <col min="12522" max="12522" width="3.59765625" customWidth="1"/>
    <col min="12523" max="12525" width="5.796875" customWidth="1"/>
    <col min="12526" max="12526" width="11.09765625" customWidth="1"/>
    <col min="12527" max="12534" width="5.796875" customWidth="1"/>
    <col min="12535" max="12535" width="7.09765625" customWidth="1"/>
    <col min="12536" max="12537" width="5.796875" customWidth="1"/>
    <col min="12538" max="12538" width="6" customWidth="1"/>
    <col min="12778" max="12778" width="3.59765625" customWidth="1"/>
    <col min="12779" max="12781" width="5.796875" customWidth="1"/>
    <col min="12782" max="12782" width="11.09765625" customWidth="1"/>
    <col min="12783" max="12790" width="5.796875" customWidth="1"/>
    <col min="12791" max="12791" width="7.09765625" customWidth="1"/>
    <col min="12792" max="12793" width="5.796875" customWidth="1"/>
    <col min="12794" max="12794" width="6" customWidth="1"/>
    <col min="13034" max="13034" width="3.59765625" customWidth="1"/>
    <col min="13035" max="13037" width="5.796875" customWidth="1"/>
    <col min="13038" max="13038" width="11.09765625" customWidth="1"/>
    <col min="13039" max="13046" width="5.796875" customWidth="1"/>
    <col min="13047" max="13047" width="7.09765625" customWidth="1"/>
    <col min="13048" max="13049" width="5.796875" customWidth="1"/>
    <col min="13050" max="13050" width="6" customWidth="1"/>
    <col min="13290" max="13290" width="3.59765625" customWidth="1"/>
    <col min="13291" max="13293" width="5.796875" customWidth="1"/>
    <col min="13294" max="13294" width="11.09765625" customWidth="1"/>
    <col min="13295" max="13302" width="5.796875" customWidth="1"/>
    <col min="13303" max="13303" width="7.09765625" customWidth="1"/>
    <col min="13304" max="13305" width="5.796875" customWidth="1"/>
    <col min="13306" max="13306" width="6" customWidth="1"/>
    <col min="13546" max="13546" width="3.59765625" customWidth="1"/>
    <col min="13547" max="13549" width="5.796875" customWidth="1"/>
    <col min="13550" max="13550" width="11.09765625" customWidth="1"/>
    <col min="13551" max="13558" width="5.796875" customWidth="1"/>
    <col min="13559" max="13559" width="7.09765625" customWidth="1"/>
    <col min="13560" max="13561" width="5.796875" customWidth="1"/>
    <col min="13562" max="13562" width="6" customWidth="1"/>
    <col min="13802" max="13802" width="3.59765625" customWidth="1"/>
    <col min="13803" max="13805" width="5.796875" customWidth="1"/>
    <col min="13806" max="13806" width="11.09765625" customWidth="1"/>
    <col min="13807" max="13814" width="5.796875" customWidth="1"/>
    <col min="13815" max="13815" width="7.09765625" customWidth="1"/>
    <col min="13816" max="13817" width="5.796875" customWidth="1"/>
    <col min="13818" max="13818" width="6" customWidth="1"/>
    <col min="14058" max="14058" width="3.59765625" customWidth="1"/>
    <col min="14059" max="14061" width="5.796875" customWidth="1"/>
    <col min="14062" max="14062" width="11.09765625" customWidth="1"/>
    <col min="14063" max="14070" width="5.796875" customWidth="1"/>
    <col min="14071" max="14071" width="7.09765625" customWidth="1"/>
    <col min="14072" max="14073" width="5.796875" customWidth="1"/>
    <col min="14074" max="14074" width="6" customWidth="1"/>
    <col min="14314" max="14314" width="3.59765625" customWidth="1"/>
    <col min="14315" max="14317" width="5.796875" customWidth="1"/>
    <col min="14318" max="14318" width="11.09765625" customWidth="1"/>
    <col min="14319" max="14326" width="5.796875" customWidth="1"/>
    <col min="14327" max="14327" width="7.09765625" customWidth="1"/>
    <col min="14328" max="14329" width="5.796875" customWidth="1"/>
    <col min="14330" max="14330" width="6" customWidth="1"/>
    <col min="14570" max="14570" width="3.59765625" customWidth="1"/>
    <col min="14571" max="14573" width="5.796875" customWidth="1"/>
    <col min="14574" max="14574" width="11.09765625" customWidth="1"/>
    <col min="14575" max="14582" width="5.796875" customWidth="1"/>
    <col min="14583" max="14583" width="7.09765625" customWidth="1"/>
    <col min="14584" max="14585" width="5.796875" customWidth="1"/>
    <col min="14586" max="14586" width="6" customWidth="1"/>
    <col min="14826" max="14826" width="3.59765625" customWidth="1"/>
    <col min="14827" max="14829" width="5.796875" customWidth="1"/>
    <col min="14830" max="14830" width="11.09765625" customWidth="1"/>
    <col min="14831" max="14838" width="5.796875" customWidth="1"/>
    <col min="14839" max="14839" width="7.09765625" customWidth="1"/>
    <col min="14840" max="14841" width="5.796875" customWidth="1"/>
    <col min="14842" max="14842" width="6" customWidth="1"/>
    <col min="15082" max="15082" width="3.59765625" customWidth="1"/>
    <col min="15083" max="15085" width="5.796875" customWidth="1"/>
    <col min="15086" max="15086" width="11.09765625" customWidth="1"/>
    <col min="15087" max="15094" width="5.796875" customWidth="1"/>
    <col min="15095" max="15095" width="7.09765625" customWidth="1"/>
    <col min="15096" max="15097" width="5.796875" customWidth="1"/>
    <col min="15098" max="15098" width="6" customWidth="1"/>
    <col min="15338" max="15338" width="3.59765625" customWidth="1"/>
    <col min="15339" max="15341" width="5.796875" customWidth="1"/>
    <col min="15342" max="15342" width="11.09765625" customWidth="1"/>
    <col min="15343" max="15350" width="5.796875" customWidth="1"/>
    <col min="15351" max="15351" width="7.09765625" customWidth="1"/>
    <col min="15352" max="15353" width="5.796875" customWidth="1"/>
    <col min="15354" max="15354" width="6" customWidth="1"/>
    <col min="15594" max="15594" width="3.59765625" customWidth="1"/>
    <col min="15595" max="15597" width="5.796875" customWidth="1"/>
    <col min="15598" max="15598" width="11.09765625" customWidth="1"/>
    <col min="15599" max="15606" width="5.796875" customWidth="1"/>
    <col min="15607" max="15607" width="7.09765625" customWidth="1"/>
    <col min="15608" max="15609" width="5.796875" customWidth="1"/>
    <col min="15610" max="15610" width="6" customWidth="1"/>
    <col min="15850" max="15850" width="3.59765625" customWidth="1"/>
    <col min="15851" max="15853" width="5.796875" customWidth="1"/>
    <col min="15854" max="15854" width="11.09765625" customWidth="1"/>
    <col min="15855" max="15862" width="5.796875" customWidth="1"/>
    <col min="15863" max="15863" width="7.09765625" customWidth="1"/>
    <col min="15864" max="15865" width="5.796875" customWidth="1"/>
    <col min="15866" max="15866" width="6" customWidth="1"/>
    <col min="16106" max="16106" width="3.59765625" customWidth="1"/>
    <col min="16107" max="16109" width="5.796875" customWidth="1"/>
    <col min="16110" max="16110" width="11.09765625" customWidth="1"/>
    <col min="16111" max="16118" width="5.796875" customWidth="1"/>
    <col min="16119" max="16119" width="7.09765625" customWidth="1"/>
    <col min="16120" max="16121" width="5.796875" customWidth="1"/>
    <col min="16122" max="16122" width="6" customWidth="1"/>
  </cols>
  <sheetData>
    <row r="1" spans="1:16" ht="47.25" customHeight="1" x14ac:dyDescent="0.25">
      <c r="A1" s="298" t="s">
        <v>306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</row>
    <row r="2" spans="1:16" ht="29.25" customHeight="1" thickBot="1" x14ac:dyDescent="0.3">
      <c r="A2" s="296" t="s">
        <v>315</v>
      </c>
      <c r="B2" s="296"/>
      <c r="C2" s="296"/>
      <c r="D2" s="296"/>
      <c r="E2" s="95"/>
      <c r="F2" s="2"/>
      <c r="G2" s="1"/>
      <c r="H2" s="1"/>
      <c r="I2" s="1"/>
      <c r="J2" s="1"/>
      <c r="K2" s="310"/>
      <c r="L2" s="310"/>
      <c r="M2" s="311"/>
      <c r="N2" s="311"/>
      <c r="O2" s="311"/>
      <c r="P2" s="311"/>
    </row>
    <row r="3" spans="1:16" ht="16.5" customHeight="1" x14ac:dyDescent="0.25">
      <c r="A3" s="299" t="s">
        <v>11</v>
      </c>
      <c r="B3" s="302" t="s">
        <v>3</v>
      </c>
      <c r="C3" s="287" t="s">
        <v>256</v>
      </c>
      <c r="D3" s="287" t="s">
        <v>253</v>
      </c>
      <c r="E3" s="287" t="s">
        <v>255</v>
      </c>
      <c r="F3" s="287" t="s">
        <v>19</v>
      </c>
      <c r="G3" s="308" t="s">
        <v>4</v>
      </c>
      <c r="H3" s="309"/>
      <c r="I3" s="308" t="s">
        <v>0</v>
      </c>
      <c r="J3" s="309"/>
      <c r="K3" s="308" t="s">
        <v>1</v>
      </c>
      <c r="L3" s="309"/>
      <c r="M3" s="287" t="s">
        <v>240</v>
      </c>
      <c r="N3" s="290" t="s">
        <v>239</v>
      </c>
      <c r="O3" s="287" t="s">
        <v>20</v>
      </c>
      <c r="P3" s="305" t="s">
        <v>21</v>
      </c>
    </row>
    <row r="4" spans="1:16" ht="14.4" customHeight="1" x14ac:dyDescent="0.25">
      <c r="A4" s="300"/>
      <c r="B4" s="303"/>
      <c r="C4" s="288"/>
      <c r="D4" s="288"/>
      <c r="E4" s="288"/>
      <c r="F4" s="288"/>
      <c r="G4" s="281" t="s">
        <v>2</v>
      </c>
      <c r="H4" s="283" t="s">
        <v>13</v>
      </c>
      <c r="I4" s="281" t="s">
        <v>2</v>
      </c>
      <c r="J4" s="283" t="s">
        <v>13</v>
      </c>
      <c r="K4" s="281" t="s">
        <v>2</v>
      </c>
      <c r="L4" s="283" t="s">
        <v>13</v>
      </c>
      <c r="M4" s="288"/>
      <c r="N4" s="291"/>
      <c r="O4" s="288"/>
      <c r="P4" s="306"/>
    </row>
    <row r="5" spans="1:16" ht="14.4" customHeight="1" thickBot="1" x14ac:dyDescent="0.3">
      <c r="A5" s="301"/>
      <c r="B5" s="304"/>
      <c r="C5" s="289"/>
      <c r="D5" s="289"/>
      <c r="E5" s="289"/>
      <c r="F5" s="289"/>
      <c r="G5" s="282"/>
      <c r="H5" s="284"/>
      <c r="I5" s="282"/>
      <c r="J5" s="284"/>
      <c r="K5" s="282"/>
      <c r="L5" s="284"/>
      <c r="M5" s="289"/>
      <c r="N5" s="292"/>
      <c r="O5" s="289"/>
      <c r="P5" s="307"/>
    </row>
    <row r="6" spans="1:16" ht="14.4" hidden="1" customHeight="1" thickBot="1" x14ac:dyDescent="0.3">
      <c r="A6" s="64"/>
      <c r="B6" s="65"/>
      <c r="C6" s="72"/>
      <c r="D6" s="63"/>
      <c r="E6"/>
      <c r="F6"/>
      <c r="G6" s="71"/>
      <c r="H6" s="73"/>
      <c r="I6" s="74"/>
      <c r="J6" s="73"/>
      <c r="K6" s="74"/>
      <c r="L6" s="88"/>
      <c r="M6" s="89"/>
      <c r="N6" s="92"/>
      <c r="O6" s="66"/>
      <c r="P6" s="67"/>
    </row>
    <row r="7" spans="1:16" ht="15.6" customHeight="1" x14ac:dyDescent="0.25">
      <c r="A7" s="275" t="s">
        <v>14</v>
      </c>
      <c r="B7" s="297" t="s">
        <v>254</v>
      </c>
      <c r="C7" s="16" t="s">
        <v>258</v>
      </c>
      <c r="D7" s="154" t="s">
        <v>24</v>
      </c>
      <c r="E7" s="124">
        <f t="shared" ref="E7:E40" si="0">IFERROR(VLOOKUP(D7, 기본학점, 2, FALSE), "")</f>
        <v>4</v>
      </c>
      <c r="F7" s="155">
        <v>4</v>
      </c>
      <c r="G7" s="5">
        <v>4</v>
      </c>
      <c r="H7" s="101"/>
      <c r="I7" s="6"/>
      <c r="J7" s="101"/>
      <c r="K7" s="6"/>
      <c r="L7" s="103"/>
      <c r="M7" s="110"/>
      <c r="N7" s="156"/>
      <c r="O7" s="269">
        <f>SUM(F7:F12)</f>
        <v>24</v>
      </c>
      <c r="P7" s="295">
        <v>8</v>
      </c>
    </row>
    <row r="8" spans="1:16" ht="15.6" customHeight="1" x14ac:dyDescent="0.25">
      <c r="A8" s="276"/>
      <c r="B8" s="254"/>
      <c r="C8" s="157" t="s">
        <v>258</v>
      </c>
      <c r="D8" s="158" t="s">
        <v>28</v>
      </c>
      <c r="E8" s="38">
        <f>IFERROR(VLOOKUP(D8, 기본학점, 2, FALSE), "")</f>
        <v>4</v>
      </c>
      <c r="F8" s="155">
        <v>4</v>
      </c>
      <c r="G8" s="8"/>
      <c r="H8" s="9">
        <v>4</v>
      </c>
      <c r="I8" s="10"/>
      <c r="J8" s="9"/>
      <c r="K8" s="10"/>
      <c r="L8" s="11"/>
      <c r="M8" s="96"/>
      <c r="N8" s="156"/>
      <c r="O8" s="267"/>
      <c r="P8" s="293"/>
    </row>
    <row r="9" spans="1:16" ht="15.6" customHeight="1" x14ac:dyDescent="0.25">
      <c r="A9" s="276"/>
      <c r="B9" s="254"/>
      <c r="C9" s="102" t="s">
        <v>259</v>
      </c>
      <c r="D9" s="158" t="s">
        <v>27</v>
      </c>
      <c r="E9" s="38">
        <f>IFERROR(VLOOKUP(D9, 기본학점, 2, FALSE), "")</f>
        <v>4</v>
      </c>
      <c r="F9" s="155">
        <v>4</v>
      </c>
      <c r="G9" s="5"/>
      <c r="H9" s="23"/>
      <c r="I9" s="22">
        <v>4</v>
      </c>
      <c r="J9" s="23"/>
      <c r="K9" s="22"/>
      <c r="L9" s="103"/>
      <c r="M9" s="96"/>
      <c r="N9" s="156"/>
      <c r="O9" s="267"/>
      <c r="P9" s="293"/>
    </row>
    <row r="10" spans="1:16" ht="15.6" customHeight="1" x14ac:dyDescent="0.25">
      <c r="A10" s="276"/>
      <c r="B10" s="254"/>
      <c r="C10" s="102" t="s">
        <v>259</v>
      </c>
      <c r="D10" s="158" t="s">
        <v>261</v>
      </c>
      <c r="E10" s="38">
        <f>IFERROR(VLOOKUP(D10, 기본학점, 2, FALSE), "")</f>
        <v>4</v>
      </c>
      <c r="F10" s="155">
        <v>4</v>
      </c>
      <c r="G10" s="5"/>
      <c r="H10" s="23"/>
      <c r="I10" s="22"/>
      <c r="J10" s="23">
        <v>4</v>
      </c>
      <c r="K10" s="22"/>
      <c r="L10" s="103"/>
      <c r="M10" s="96"/>
      <c r="N10" s="156"/>
      <c r="O10" s="267"/>
      <c r="P10" s="293"/>
    </row>
    <row r="11" spans="1:16" ht="15.6" customHeight="1" x14ac:dyDescent="0.25">
      <c r="A11" s="276"/>
      <c r="B11" s="254"/>
      <c r="C11" s="102" t="s">
        <v>259</v>
      </c>
      <c r="D11" s="158" t="s">
        <v>262</v>
      </c>
      <c r="E11" s="38">
        <f t="shared" si="0"/>
        <v>4</v>
      </c>
      <c r="F11" s="155">
        <v>4</v>
      </c>
      <c r="G11" s="5"/>
      <c r="H11" s="23"/>
      <c r="I11" s="22"/>
      <c r="J11" s="23"/>
      <c r="K11" s="22">
        <v>4</v>
      </c>
      <c r="L11" s="103"/>
      <c r="M11" s="96"/>
      <c r="N11" s="156"/>
      <c r="O11" s="267"/>
      <c r="P11" s="293"/>
    </row>
    <row r="12" spans="1:16" ht="15.6" customHeight="1" x14ac:dyDescent="0.25">
      <c r="A12" s="276"/>
      <c r="B12" s="255"/>
      <c r="C12" s="102" t="s">
        <v>260</v>
      </c>
      <c r="D12" s="158" t="s">
        <v>263</v>
      </c>
      <c r="E12" s="133">
        <f t="shared" si="0"/>
        <v>4</v>
      </c>
      <c r="F12" s="155">
        <v>4</v>
      </c>
      <c r="G12" s="5"/>
      <c r="H12" s="23"/>
      <c r="I12" s="22"/>
      <c r="J12" s="23" t="s">
        <v>264</v>
      </c>
      <c r="K12" s="22"/>
      <c r="L12" s="103">
        <v>4</v>
      </c>
      <c r="M12" s="110"/>
      <c r="N12" s="159"/>
      <c r="O12" s="294"/>
      <c r="P12" s="286"/>
    </row>
    <row r="13" spans="1:16" ht="15.6" customHeight="1" x14ac:dyDescent="0.25">
      <c r="A13" s="276"/>
      <c r="B13" s="253" t="s">
        <v>7</v>
      </c>
      <c r="C13" s="16" t="s">
        <v>258</v>
      </c>
      <c r="D13" s="160" t="s">
        <v>25</v>
      </c>
      <c r="E13" s="35">
        <f t="shared" si="0"/>
        <v>4</v>
      </c>
      <c r="F13" s="104">
        <v>4</v>
      </c>
      <c r="G13" s="12">
        <v>4</v>
      </c>
      <c r="H13" s="13"/>
      <c r="I13" s="14"/>
      <c r="J13" s="13"/>
      <c r="K13" s="14"/>
      <c r="L13" s="15"/>
      <c r="M13" s="97"/>
      <c r="N13" s="161"/>
      <c r="O13" s="262">
        <f>SUM(F13:F18)</f>
        <v>24</v>
      </c>
      <c r="P13" s="285">
        <v>8</v>
      </c>
    </row>
    <row r="14" spans="1:16" ht="15.6" customHeight="1" x14ac:dyDescent="0.25">
      <c r="A14" s="276"/>
      <c r="B14" s="254"/>
      <c r="C14" s="7" t="s">
        <v>258</v>
      </c>
      <c r="D14" s="158" t="s">
        <v>31</v>
      </c>
      <c r="E14" s="38">
        <f t="shared" si="0"/>
        <v>4</v>
      </c>
      <c r="F14" s="105">
        <v>4</v>
      </c>
      <c r="G14" s="8"/>
      <c r="H14" s="9">
        <v>4</v>
      </c>
      <c r="I14" s="10"/>
      <c r="J14" s="9"/>
      <c r="K14" s="10"/>
      <c r="L14" s="11"/>
      <c r="M14" s="96"/>
      <c r="N14" s="156"/>
      <c r="O14" s="262"/>
      <c r="P14" s="293"/>
    </row>
    <row r="15" spans="1:16" ht="15.6" customHeight="1" x14ac:dyDescent="0.25">
      <c r="A15" s="276"/>
      <c r="B15" s="254"/>
      <c r="C15" s="7" t="s">
        <v>259</v>
      </c>
      <c r="D15" s="158" t="s">
        <v>266</v>
      </c>
      <c r="E15" s="38">
        <f>IFERROR(VLOOKUP(D15, 기본학점, 2, FALSE), "")</f>
        <v>4</v>
      </c>
      <c r="F15" s="105">
        <v>4</v>
      </c>
      <c r="G15" s="8"/>
      <c r="H15" s="9"/>
      <c r="I15" s="10">
        <v>4</v>
      </c>
      <c r="J15" s="9"/>
      <c r="K15" s="10"/>
      <c r="L15" s="11"/>
      <c r="M15" s="96"/>
      <c r="N15" s="156"/>
      <c r="O15" s="262"/>
      <c r="P15" s="293"/>
    </row>
    <row r="16" spans="1:16" ht="15.6" customHeight="1" x14ac:dyDescent="0.25">
      <c r="A16" s="276"/>
      <c r="B16" s="254"/>
      <c r="C16" s="7" t="s">
        <v>259</v>
      </c>
      <c r="D16" s="158" t="s">
        <v>267</v>
      </c>
      <c r="E16" s="38">
        <f>IFERROR(VLOOKUP(D16, 기본학점, 2, FALSE), "")</f>
        <v>4</v>
      </c>
      <c r="F16" s="105">
        <v>4</v>
      </c>
      <c r="G16" s="8"/>
      <c r="H16" s="9"/>
      <c r="I16" s="10"/>
      <c r="J16" s="9">
        <v>4</v>
      </c>
      <c r="K16" s="10"/>
      <c r="L16" s="11"/>
      <c r="M16" s="96"/>
      <c r="N16" s="156"/>
      <c r="O16" s="262"/>
      <c r="P16" s="293"/>
    </row>
    <row r="17" spans="1:16" ht="15.6" customHeight="1" x14ac:dyDescent="0.25">
      <c r="A17" s="276"/>
      <c r="B17" s="254"/>
      <c r="C17" s="28" t="s">
        <v>259</v>
      </c>
      <c r="D17" s="158" t="s">
        <v>32</v>
      </c>
      <c r="E17" s="38">
        <f t="shared" si="0"/>
        <v>4</v>
      </c>
      <c r="F17" s="142">
        <v>4</v>
      </c>
      <c r="G17" s="144"/>
      <c r="H17" s="149"/>
      <c r="I17" s="148"/>
      <c r="J17" s="149"/>
      <c r="K17" s="148">
        <v>4</v>
      </c>
      <c r="L17" s="191"/>
      <c r="M17" s="96"/>
      <c r="N17" s="156"/>
      <c r="O17" s="262"/>
      <c r="P17" s="293"/>
    </row>
    <row r="18" spans="1:16" ht="15.6" customHeight="1" x14ac:dyDescent="0.25">
      <c r="A18" s="276"/>
      <c r="B18" s="255"/>
      <c r="C18" s="17" t="s">
        <v>265</v>
      </c>
      <c r="D18" s="162" t="s">
        <v>59</v>
      </c>
      <c r="E18" s="133">
        <f t="shared" si="0"/>
        <v>4</v>
      </c>
      <c r="F18" s="106">
        <v>4</v>
      </c>
      <c r="G18" s="18"/>
      <c r="H18" s="19"/>
      <c r="I18" s="20"/>
      <c r="J18" s="19" t="s">
        <v>264</v>
      </c>
      <c r="K18" s="20"/>
      <c r="L18" s="21">
        <v>4</v>
      </c>
      <c r="M18" s="141"/>
      <c r="N18" s="17"/>
      <c r="O18" s="280"/>
      <c r="P18" s="293"/>
    </row>
    <row r="19" spans="1:16" ht="15.6" customHeight="1" x14ac:dyDescent="0.25">
      <c r="A19" s="276"/>
      <c r="B19" s="253" t="s">
        <v>16</v>
      </c>
      <c r="C19" s="102" t="s">
        <v>258</v>
      </c>
      <c r="D19" s="160" t="s">
        <v>26</v>
      </c>
      <c r="E19" s="35">
        <f t="shared" si="0"/>
        <v>4</v>
      </c>
      <c r="F19" s="107">
        <v>4</v>
      </c>
      <c r="G19" s="22">
        <v>4</v>
      </c>
      <c r="H19" s="23"/>
      <c r="I19" s="22"/>
      <c r="J19" s="23"/>
      <c r="K19" s="22"/>
      <c r="L19" s="23"/>
      <c r="M19" s="97"/>
      <c r="N19" s="161"/>
      <c r="O19" s="261">
        <f>SUM(F19:F24)</f>
        <v>22</v>
      </c>
      <c r="P19" s="285">
        <v>8</v>
      </c>
    </row>
    <row r="20" spans="1:16" ht="15.6" customHeight="1" x14ac:dyDescent="0.25">
      <c r="A20" s="276"/>
      <c r="B20" s="254"/>
      <c r="C20" s="7" t="s">
        <v>258</v>
      </c>
      <c r="D20" s="158" t="s">
        <v>37</v>
      </c>
      <c r="E20" s="38">
        <f>IFERROR(VLOOKUP(D20, 기본학점, 2, FALSE), "")</f>
        <v>4</v>
      </c>
      <c r="F20" s="8">
        <v>4</v>
      </c>
      <c r="G20" s="10"/>
      <c r="H20" s="9">
        <v>4</v>
      </c>
      <c r="I20" s="10"/>
      <c r="J20" s="9"/>
      <c r="K20" s="10"/>
      <c r="L20" s="9"/>
      <c r="M20" s="96"/>
      <c r="N20" s="156"/>
      <c r="O20" s="262"/>
      <c r="P20" s="293"/>
    </row>
    <row r="21" spans="1:16" ht="15.6" customHeight="1" x14ac:dyDescent="0.25">
      <c r="A21" s="276"/>
      <c r="B21" s="254"/>
      <c r="C21" s="7" t="s">
        <v>259</v>
      </c>
      <c r="D21" s="158" t="s">
        <v>268</v>
      </c>
      <c r="E21" s="38">
        <f>IFERROR(VLOOKUP(D21, 기본학점, 2, FALSE), "")</f>
        <v>4</v>
      </c>
      <c r="F21" s="8">
        <v>3</v>
      </c>
      <c r="G21" s="10"/>
      <c r="H21" s="9"/>
      <c r="I21" s="10">
        <v>3</v>
      </c>
      <c r="J21" s="9"/>
      <c r="K21" s="10"/>
      <c r="L21" s="9"/>
      <c r="M21" s="96"/>
      <c r="N21" s="156"/>
      <c r="O21" s="262"/>
      <c r="P21" s="293"/>
    </row>
    <row r="22" spans="1:16" ht="15.6" customHeight="1" x14ac:dyDescent="0.25">
      <c r="A22" s="276"/>
      <c r="B22" s="254"/>
      <c r="C22" s="7" t="s">
        <v>259</v>
      </c>
      <c r="D22" s="158" t="s">
        <v>269</v>
      </c>
      <c r="E22" s="38">
        <f>IFERROR(VLOOKUP(D22, 기본학점, 2, FALSE), "")</f>
        <v>4</v>
      </c>
      <c r="F22" s="8">
        <v>3</v>
      </c>
      <c r="G22" s="10"/>
      <c r="H22" s="9"/>
      <c r="I22" s="10"/>
      <c r="J22" s="9">
        <v>3</v>
      </c>
      <c r="K22" s="10"/>
      <c r="L22" s="9"/>
      <c r="M22" s="96"/>
      <c r="N22" s="156"/>
      <c r="O22" s="262"/>
      <c r="P22" s="293"/>
    </row>
    <row r="23" spans="1:16" ht="15.6" customHeight="1" x14ac:dyDescent="0.25">
      <c r="A23" s="276"/>
      <c r="B23" s="254"/>
      <c r="C23" s="28" t="s">
        <v>259</v>
      </c>
      <c r="D23" s="158" t="s">
        <v>38</v>
      </c>
      <c r="E23" s="38">
        <f t="shared" si="0"/>
        <v>4</v>
      </c>
      <c r="F23" s="144">
        <v>4</v>
      </c>
      <c r="G23" s="148"/>
      <c r="H23" s="149"/>
      <c r="I23" s="148" t="s">
        <v>264</v>
      </c>
      <c r="J23" s="149"/>
      <c r="K23" s="148">
        <v>4</v>
      </c>
      <c r="L23" s="149"/>
      <c r="M23" s="96"/>
      <c r="N23" s="156"/>
      <c r="O23" s="262"/>
      <c r="P23" s="293"/>
    </row>
    <row r="24" spans="1:16" ht="15.6" customHeight="1" x14ac:dyDescent="0.25">
      <c r="A24" s="276"/>
      <c r="B24" s="255"/>
      <c r="C24" s="24" t="s">
        <v>260</v>
      </c>
      <c r="D24" s="141" t="s">
        <v>270</v>
      </c>
      <c r="E24" s="133">
        <f t="shared" si="0"/>
        <v>4</v>
      </c>
      <c r="F24" s="25">
        <v>4</v>
      </c>
      <c r="G24" s="26"/>
      <c r="H24" s="27"/>
      <c r="I24" s="26"/>
      <c r="J24" s="27" t="s">
        <v>264</v>
      </c>
      <c r="K24" s="26"/>
      <c r="L24" s="27">
        <v>4</v>
      </c>
      <c r="M24" s="141"/>
      <c r="N24" s="17"/>
      <c r="O24" s="262"/>
      <c r="P24" s="286"/>
    </row>
    <row r="25" spans="1:16" ht="15.6" customHeight="1" x14ac:dyDescent="0.25">
      <c r="A25" s="276"/>
      <c r="B25" s="253" t="s">
        <v>183</v>
      </c>
      <c r="C25" s="16" t="s">
        <v>258</v>
      </c>
      <c r="D25" s="160" t="s">
        <v>271</v>
      </c>
      <c r="E25" s="35">
        <f t="shared" si="0"/>
        <v>3</v>
      </c>
      <c r="F25" s="12">
        <v>3</v>
      </c>
      <c r="G25" s="14">
        <v>3</v>
      </c>
      <c r="H25" s="13"/>
      <c r="I25" s="14"/>
      <c r="J25" s="13"/>
      <c r="K25" s="14"/>
      <c r="L25" s="15"/>
      <c r="M25" s="97"/>
      <c r="N25" s="161"/>
      <c r="O25" s="261">
        <f>SUM(F25:F26)</f>
        <v>6</v>
      </c>
      <c r="P25" s="285">
        <v>6</v>
      </c>
    </row>
    <row r="26" spans="1:16" ht="15.6" customHeight="1" x14ac:dyDescent="0.25">
      <c r="A26" s="276"/>
      <c r="B26" s="254"/>
      <c r="C26" s="24" t="s">
        <v>258</v>
      </c>
      <c r="D26" s="162" t="s">
        <v>272</v>
      </c>
      <c r="E26" s="45">
        <f t="shared" si="0"/>
        <v>3</v>
      </c>
      <c r="F26" s="144">
        <v>3</v>
      </c>
      <c r="G26" s="148"/>
      <c r="H26" s="149">
        <v>3</v>
      </c>
      <c r="I26" s="20"/>
      <c r="J26" s="19"/>
      <c r="K26" s="20"/>
      <c r="L26" s="19"/>
      <c r="M26" s="162"/>
      <c r="N26" s="163"/>
      <c r="O26" s="280"/>
      <c r="P26" s="286"/>
    </row>
    <row r="27" spans="1:16" ht="15.6" customHeight="1" x14ac:dyDescent="0.25">
      <c r="A27" s="276"/>
      <c r="B27" s="254"/>
      <c r="C27" s="16" t="s">
        <v>258</v>
      </c>
      <c r="D27" s="160" t="s">
        <v>273</v>
      </c>
      <c r="E27" s="35">
        <f t="shared" si="0"/>
        <v>4</v>
      </c>
      <c r="F27" s="108">
        <v>4</v>
      </c>
      <c r="G27" s="14">
        <v>4</v>
      </c>
      <c r="H27" s="13"/>
      <c r="I27" s="14"/>
      <c r="J27" s="13"/>
      <c r="K27" s="14"/>
      <c r="L27" s="15"/>
      <c r="M27" s="97"/>
      <c r="N27" s="16"/>
      <c r="O27" s="261">
        <f>SUM(F27:F28)</f>
        <v>8</v>
      </c>
      <c r="P27" s="285">
        <v>8</v>
      </c>
    </row>
    <row r="28" spans="1:16" ht="15.6" customHeight="1" x14ac:dyDescent="0.25">
      <c r="A28" s="276"/>
      <c r="B28" s="255"/>
      <c r="C28" s="17" t="s">
        <v>258</v>
      </c>
      <c r="D28" s="162" t="s">
        <v>274</v>
      </c>
      <c r="E28" s="45">
        <f t="shared" si="0"/>
        <v>4</v>
      </c>
      <c r="F28" s="109">
        <v>4</v>
      </c>
      <c r="G28" s="185"/>
      <c r="H28" s="118">
        <v>4</v>
      </c>
      <c r="I28" s="20"/>
      <c r="J28" s="19"/>
      <c r="K28" s="20"/>
      <c r="L28" s="19"/>
      <c r="M28" s="162"/>
      <c r="N28" s="163"/>
      <c r="O28" s="280"/>
      <c r="P28" s="286"/>
    </row>
    <row r="29" spans="1:16" ht="15.6" customHeight="1" x14ac:dyDescent="0.25">
      <c r="A29" s="276"/>
      <c r="B29" s="253" t="s">
        <v>8</v>
      </c>
      <c r="C29" s="16" t="s">
        <v>258</v>
      </c>
      <c r="D29" s="160" t="s">
        <v>275</v>
      </c>
      <c r="E29" s="35">
        <f t="shared" si="0"/>
        <v>4</v>
      </c>
      <c r="F29" s="104">
        <v>4</v>
      </c>
      <c r="G29" s="30">
        <v>4</v>
      </c>
      <c r="H29" s="31"/>
      <c r="I29" s="30"/>
      <c r="J29" s="31"/>
      <c r="K29" s="30"/>
      <c r="L29" s="31"/>
      <c r="M29" s="97"/>
      <c r="N29" s="16"/>
      <c r="O29" s="261">
        <f>SUM(F29:F32)</f>
        <v>10</v>
      </c>
      <c r="P29" s="285">
        <v>10</v>
      </c>
    </row>
    <row r="30" spans="1:16" ht="15.6" customHeight="1" x14ac:dyDescent="0.25">
      <c r="A30" s="276"/>
      <c r="B30" s="254"/>
      <c r="C30" s="7" t="s">
        <v>258</v>
      </c>
      <c r="D30" s="158" t="s">
        <v>276</v>
      </c>
      <c r="E30" s="38">
        <f>IFERROR(VLOOKUP(D30, 기본학점, 2, FALSE), "")</f>
        <v>4</v>
      </c>
      <c r="F30" s="8">
        <v>4</v>
      </c>
      <c r="G30" s="164"/>
      <c r="H30" s="32">
        <v>4</v>
      </c>
      <c r="I30" s="164"/>
      <c r="J30" s="32"/>
      <c r="K30" s="164"/>
      <c r="L30" s="32"/>
      <c r="M30" s="96"/>
      <c r="N30" s="156"/>
      <c r="O30" s="262"/>
      <c r="P30" s="293"/>
    </row>
    <row r="31" spans="1:16" ht="15.6" customHeight="1" x14ac:dyDescent="0.25">
      <c r="A31" s="276"/>
      <c r="B31" s="254"/>
      <c r="C31" s="28" t="s">
        <v>258</v>
      </c>
      <c r="D31" s="158" t="s">
        <v>277</v>
      </c>
      <c r="E31" s="38">
        <f>IFERROR(VLOOKUP(D31, 기본학점, 2, FALSE), "")</f>
        <v>1</v>
      </c>
      <c r="F31" s="8">
        <v>1</v>
      </c>
      <c r="G31" s="164">
        <v>1</v>
      </c>
      <c r="H31" s="32"/>
      <c r="I31" s="164"/>
      <c r="J31" s="32"/>
      <c r="K31" s="164"/>
      <c r="L31" s="32"/>
      <c r="M31" s="165"/>
      <c r="N31" s="156"/>
      <c r="O31" s="262"/>
      <c r="P31" s="293"/>
    </row>
    <row r="32" spans="1:16" ht="15.6" customHeight="1" x14ac:dyDescent="0.25">
      <c r="A32" s="276"/>
      <c r="B32" s="255"/>
      <c r="C32" s="17" t="s">
        <v>258</v>
      </c>
      <c r="D32" s="162" t="s">
        <v>278</v>
      </c>
      <c r="E32" s="133">
        <f t="shared" si="0"/>
        <v>1</v>
      </c>
      <c r="F32" s="18">
        <v>1</v>
      </c>
      <c r="G32" s="20"/>
      <c r="H32" s="21">
        <v>1</v>
      </c>
      <c r="I32" s="20"/>
      <c r="J32" s="21"/>
      <c r="K32" s="20"/>
      <c r="L32" s="21"/>
      <c r="M32" s="166"/>
      <c r="N32" s="159"/>
      <c r="O32" s="280"/>
      <c r="P32" s="286"/>
    </row>
    <row r="33" spans="1:16" ht="15.6" customHeight="1" x14ac:dyDescent="0.25">
      <c r="A33" s="276"/>
      <c r="B33" s="253" t="s">
        <v>9</v>
      </c>
      <c r="C33" s="16" t="s">
        <v>259</v>
      </c>
      <c r="D33" s="160" t="s">
        <v>279</v>
      </c>
      <c r="E33" s="35">
        <f t="shared" si="0"/>
        <v>3</v>
      </c>
      <c r="F33" s="107">
        <v>2</v>
      </c>
      <c r="G33" s="5">
        <v>2</v>
      </c>
      <c r="H33" s="23"/>
      <c r="I33" s="22"/>
      <c r="J33" s="23"/>
      <c r="K33" s="22"/>
      <c r="L33" s="103"/>
      <c r="M33" s="97"/>
      <c r="N33" s="16"/>
      <c r="O33" s="261">
        <f>SUM(F33:F38)</f>
        <v>10</v>
      </c>
      <c r="P33" s="285">
        <v>10</v>
      </c>
    </row>
    <row r="34" spans="1:16" ht="15.6" customHeight="1" x14ac:dyDescent="0.25">
      <c r="A34" s="276"/>
      <c r="B34" s="254"/>
      <c r="C34" s="7" t="s">
        <v>259</v>
      </c>
      <c r="D34" s="158" t="s">
        <v>280</v>
      </c>
      <c r="E34" s="38">
        <f>IFERROR(VLOOKUP(D34, 기본학점, 2, FALSE), "")</f>
        <v>3</v>
      </c>
      <c r="F34" s="105">
        <v>2</v>
      </c>
      <c r="G34" s="8"/>
      <c r="H34" s="9">
        <v>2</v>
      </c>
      <c r="I34" s="10"/>
      <c r="J34" s="9"/>
      <c r="K34" s="10"/>
      <c r="L34" s="11"/>
      <c r="M34" s="96"/>
      <c r="N34" s="156"/>
      <c r="O34" s="262"/>
      <c r="P34" s="293"/>
    </row>
    <row r="35" spans="1:16" ht="15.6" customHeight="1" x14ac:dyDescent="0.25">
      <c r="A35" s="276"/>
      <c r="B35" s="254"/>
      <c r="C35" s="7" t="s">
        <v>265</v>
      </c>
      <c r="D35" s="158" t="s">
        <v>167</v>
      </c>
      <c r="E35" s="38">
        <f t="shared" si="0"/>
        <v>3</v>
      </c>
      <c r="F35" s="105">
        <v>2</v>
      </c>
      <c r="G35" s="8"/>
      <c r="H35" s="9"/>
      <c r="I35" s="10">
        <v>2</v>
      </c>
      <c r="J35" s="9"/>
      <c r="K35" s="10"/>
      <c r="L35" s="11"/>
      <c r="M35" s="96"/>
      <c r="N35" s="156"/>
      <c r="O35" s="262"/>
      <c r="P35" s="293"/>
    </row>
    <row r="36" spans="1:16" ht="15.6" customHeight="1" x14ac:dyDescent="0.25">
      <c r="A36" s="276"/>
      <c r="B36" s="254"/>
      <c r="C36" s="7" t="s">
        <v>265</v>
      </c>
      <c r="D36" s="158" t="s">
        <v>168</v>
      </c>
      <c r="E36" s="38">
        <f>IFERROR(VLOOKUP(D36, 기본학점, 2, FALSE), "")</f>
        <v>3</v>
      </c>
      <c r="F36" s="105">
        <v>2</v>
      </c>
      <c r="G36" s="8"/>
      <c r="H36" s="9"/>
      <c r="I36" s="10"/>
      <c r="J36" s="9">
        <v>2</v>
      </c>
      <c r="K36" s="10"/>
      <c r="L36" s="11"/>
      <c r="M36" s="96"/>
      <c r="N36" s="156"/>
      <c r="O36" s="262"/>
      <c r="P36" s="293"/>
    </row>
    <row r="37" spans="1:16" ht="15.6" customHeight="1" x14ac:dyDescent="0.25">
      <c r="A37" s="276"/>
      <c r="B37" s="254"/>
      <c r="C37" s="28" t="s">
        <v>260</v>
      </c>
      <c r="D37" s="158" t="s">
        <v>281</v>
      </c>
      <c r="E37" s="38">
        <f>IFERROR(VLOOKUP(D37, 기본학점, 2, FALSE), "")</f>
        <v>2</v>
      </c>
      <c r="F37" s="142">
        <v>1</v>
      </c>
      <c r="G37" s="10"/>
      <c r="H37" s="149"/>
      <c r="I37" s="148"/>
      <c r="J37" s="149"/>
      <c r="K37" s="148">
        <v>1</v>
      </c>
      <c r="L37" s="191"/>
      <c r="M37" s="96"/>
      <c r="N37" s="156"/>
      <c r="O37" s="262"/>
      <c r="P37" s="293"/>
    </row>
    <row r="38" spans="1:16" ht="15.6" customHeight="1" x14ac:dyDescent="0.25">
      <c r="A38" s="276"/>
      <c r="B38" s="255"/>
      <c r="C38" s="159" t="s">
        <v>260</v>
      </c>
      <c r="D38" s="166" t="s">
        <v>282</v>
      </c>
      <c r="E38" s="133">
        <f t="shared" si="0"/>
        <v>2</v>
      </c>
      <c r="F38" s="106">
        <v>1</v>
      </c>
      <c r="G38" s="29"/>
      <c r="H38" s="19" t="s">
        <v>264</v>
      </c>
      <c r="I38" s="20"/>
      <c r="J38" s="19"/>
      <c r="K38" s="20"/>
      <c r="L38" s="21">
        <v>1</v>
      </c>
      <c r="M38" s="166"/>
      <c r="N38" s="159"/>
      <c r="O38" s="280"/>
      <c r="P38" s="286"/>
    </row>
    <row r="39" spans="1:16" ht="15.6" customHeight="1" x14ac:dyDescent="0.25">
      <c r="A39" s="276"/>
      <c r="B39" s="253" t="s">
        <v>316</v>
      </c>
      <c r="C39" s="16" t="s">
        <v>259</v>
      </c>
      <c r="D39" s="160" t="s">
        <v>283</v>
      </c>
      <c r="E39" s="35">
        <f t="shared" si="0"/>
        <v>3</v>
      </c>
      <c r="F39" s="104">
        <v>3</v>
      </c>
      <c r="G39" s="69">
        <v>3</v>
      </c>
      <c r="H39" s="13" t="s">
        <v>285</v>
      </c>
      <c r="I39" s="14"/>
      <c r="J39" s="13"/>
      <c r="K39" s="14"/>
      <c r="L39" s="15"/>
      <c r="M39" s="16"/>
      <c r="N39" s="16"/>
      <c r="O39" s="321">
        <f>SUM(F39:F40)</f>
        <v>6</v>
      </c>
      <c r="P39" s="285">
        <v>10</v>
      </c>
    </row>
    <row r="40" spans="1:16" ht="15.6" customHeight="1" x14ac:dyDescent="0.25">
      <c r="A40" s="276"/>
      <c r="B40" s="255"/>
      <c r="C40" s="17" t="s">
        <v>259</v>
      </c>
      <c r="D40" s="141" t="s">
        <v>284</v>
      </c>
      <c r="E40" s="133">
        <f t="shared" si="0"/>
        <v>3</v>
      </c>
      <c r="F40" s="106">
        <v>3</v>
      </c>
      <c r="G40" s="18" t="s">
        <v>285</v>
      </c>
      <c r="H40" s="82">
        <v>3</v>
      </c>
      <c r="I40" s="20"/>
      <c r="J40" s="19"/>
      <c r="K40" s="20"/>
      <c r="L40" s="21"/>
      <c r="M40" s="17"/>
      <c r="N40" s="17"/>
      <c r="O40" s="294"/>
      <c r="P40" s="286"/>
    </row>
    <row r="41" spans="1:16" ht="15.6" customHeight="1" thickBot="1" x14ac:dyDescent="0.3">
      <c r="A41" s="277"/>
      <c r="B41" s="234" t="s">
        <v>186</v>
      </c>
      <c r="C41" s="28" t="s">
        <v>265</v>
      </c>
      <c r="D41" s="195" t="s">
        <v>301</v>
      </c>
      <c r="E41" s="233">
        <f>IFERROR(VLOOKUP(D41, 기본학점, 2, FALSE), "")</f>
        <v>4</v>
      </c>
      <c r="F41" s="238">
        <v>4</v>
      </c>
      <c r="G41" s="238" t="s">
        <v>310</v>
      </c>
      <c r="H41" s="239" t="s">
        <v>310</v>
      </c>
      <c r="I41" s="240"/>
      <c r="J41" s="241"/>
      <c r="K41" s="242"/>
      <c r="L41" s="207">
        <v>4</v>
      </c>
      <c r="M41" s="243"/>
      <c r="N41" s="244"/>
      <c r="O41" s="245">
        <v>4</v>
      </c>
      <c r="P41" s="246">
        <v>16</v>
      </c>
    </row>
    <row r="42" spans="1:16" ht="15.6" customHeight="1" x14ac:dyDescent="0.25">
      <c r="A42" s="276" t="s">
        <v>314</v>
      </c>
      <c r="B42" s="254" t="s">
        <v>8</v>
      </c>
      <c r="C42" s="209" t="s">
        <v>259</v>
      </c>
      <c r="D42" s="154" t="s">
        <v>287</v>
      </c>
      <c r="E42" s="235">
        <f t="shared" ref="E42:E57" si="1">IFERROR(VLOOKUP(D42, 기본학점, 2, FALSE), "")</f>
        <v>4</v>
      </c>
      <c r="F42" s="107">
        <v>4</v>
      </c>
      <c r="G42" s="42"/>
      <c r="H42" s="236"/>
      <c r="I42" s="323" t="s">
        <v>313</v>
      </c>
      <c r="J42" s="237"/>
      <c r="K42" s="229"/>
      <c r="L42" s="237"/>
      <c r="M42" s="110"/>
      <c r="N42" s="171"/>
      <c r="O42" s="267">
        <v>32</v>
      </c>
      <c r="P42" s="273"/>
    </row>
    <row r="43" spans="1:16" ht="15.6" customHeight="1" x14ac:dyDescent="0.25">
      <c r="A43" s="276"/>
      <c r="B43" s="254"/>
      <c r="C43" s="7" t="s">
        <v>259</v>
      </c>
      <c r="D43" s="158" t="s">
        <v>288</v>
      </c>
      <c r="E43" s="38">
        <f t="shared" si="1"/>
        <v>4</v>
      </c>
      <c r="F43" s="105">
        <v>4</v>
      </c>
      <c r="G43" s="43"/>
      <c r="H43" s="196"/>
      <c r="I43" s="323"/>
      <c r="J43" s="32"/>
      <c r="K43" s="227"/>
      <c r="L43" s="32"/>
      <c r="M43" s="96"/>
      <c r="N43" s="156"/>
      <c r="O43" s="267"/>
      <c r="P43" s="273"/>
    </row>
    <row r="44" spans="1:16" ht="15.6" customHeight="1" x14ac:dyDescent="0.25">
      <c r="A44" s="276"/>
      <c r="B44" s="254"/>
      <c r="C44" s="7" t="s">
        <v>259</v>
      </c>
      <c r="D44" s="158" t="s">
        <v>289</v>
      </c>
      <c r="E44" s="38">
        <f t="shared" si="1"/>
        <v>4</v>
      </c>
      <c r="F44" s="105">
        <v>4</v>
      </c>
      <c r="G44" s="77"/>
      <c r="H44" s="197"/>
      <c r="I44" s="323"/>
      <c r="J44" s="11"/>
      <c r="K44" s="227"/>
      <c r="L44" s="11"/>
      <c r="M44" s="96"/>
      <c r="N44" s="156"/>
      <c r="O44" s="267"/>
      <c r="P44" s="273"/>
    </row>
    <row r="45" spans="1:16" ht="15.6" customHeight="1" x14ac:dyDescent="0.25">
      <c r="A45" s="276"/>
      <c r="B45" s="255"/>
      <c r="C45" s="17" t="s">
        <v>259</v>
      </c>
      <c r="D45" s="162" t="s">
        <v>290</v>
      </c>
      <c r="E45" s="133">
        <f t="shared" si="1"/>
        <v>4</v>
      </c>
      <c r="F45" s="106">
        <v>4</v>
      </c>
      <c r="G45" s="78"/>
      <c r="H45" s="198"/>
      <c r="I45" s="324"/>
      <c r="J45" s="21"/>
      <c r="K45" s="227"/>
      <c r="L45" s="21"/>
      <c r="M45" s="141"/>
      <c r="N45" s="159"/>
      <c r="O45" s="267"/>
      <c r="P45" s="273"/>
    </row>
    <row r="46" spans="1:16" ht="15.6" customHeight="1" x14ac:dyDescent="0.25">
      <c r="A46" s="276"/>
      <c r="B46" s="186" t="s">
        <v>101</v>
      </c>
      <c r="C46" s="16" t="s">
        <v>259</v>
      </c>
      <c r="D46" s="160" t="s">
        <v>45</v>
      </c>
      <c r="E46" s="35">
        <f t="shared" si="1"/>
        <v>4</v>
      </c>
      <c r="F46" s="107">
        <v>4</v>
      </c>
      <c r="G46" s="79"/>
      <c r="H46" s="80"/>
      <c r="I46" s="325" t="s">
        <v>294</v>
      </c>
      <c r="J46" s="15"/>
      <c r="K46" s="230"/>
      <c r="L46" s="15"/>
      <c r="M46" s="97"/>
      <c r="N46" s="16"/>
      <c r="O46" s="267"/>
      <c r="P46" s="273"/>
    </row>
    <row r="47" spans="1:16" ht="15.6" customHeight="1" x14ac:dyDescent="0.25">
      <c r="A47" s="276"/>
      <c r="B47" s="253" t="s">
        <v>100</v>
      </c>
      <c r="C47" s="16" t="s">
        <v>259</v>
      </c>
      <c r="D47" s="160" t="s">
        <v>291</v>
      </c>
      <c r="E47" s="35">
        <f t="shared" si="1"/>
        <v>4</v>
      </c>
      <c r="F47" s="104">
        <v>4</v>
      </c>
      <c r="G47" s="69"/>
      <c r="H47" s="80"/>
      <c r="I47" s="325"/>
      <c r="J47" s="15"/>
      <c r="K47" s="229"/>
      <c r="L47" s="15"/>
      <c r="M47" s="97"/>
      <c r="N47" s="16"/>
      <c r="O47" s="267"/>
      <c r="P47" s="273"/>
    </row>
    <row r="48" spans="1:16" ht="15.6" customHeight="1" thickBot="1" x14ac:dyDescent="0.3">
      <c r="A48" s="276"/>
      <c r="B48" s="256"/>
      <c r="C48" s="100" t="s">
        <v>259</v>
      </c>
      <c r="D48" s="172" t="s">
        <v>292</v>
      </c>
      <c r="E48" s="167">
        <f t="shared" si="1"/>
        <v>4</v>
      </c>
      <c r="F48" s="117">
        <v>4</v>
      </c>
      <c r="G48" s="122"/>
      <c r="H48" s="86"/>
      <c r="I48" s="326"/>
      <c r="J48" s="131"/>
      <c r="K48" s="226"/>
      <c r="L48" s="131"/>
      <c r="M48" s="111"/>
      <c r="N48" s="168"/>
      <c r="O48" s="267"/>
      <c r="P48" s="273"/>
    </row>
    <row r="49" spans="1:16" ht="15.6" customHeight="1" x14ac:dyDescent="0.25">
      <c r="A49" s="276"/>
      <c r="B49" s="231" t="s">
        <v>312</v>
      </c>
      <c r="C49" s="136" t="s">
        <v>260</v>
      </c>
      <c r="D49" s="248" t="s">
        <v>286</v>
      </c>
      <c r="E49" s="45">
        <f>IFERROR(VLOOKUP(D49, 기본학점, 2, FALSE), "")</f>
        <v>4</v>
      </c>
      <c r="F49" s="155">
        <v>4</v>
      </c>
      <c r="G49" s="137"/>
      <c r="H49" s="233"/>
      <c r="I49" s="232"/>
      <c r="J49" s="191"/>
      <c r="K49" s="228"/>
      <c r="L49" s="191"/>
      <c r="M49" s="119"/>
      <c r="N49" s="173"/>
      <c r="O49" s="267"/>
      <c r="P49" s="273"/>
    </row>
    <row r="50" spans="1:16" ht="15.6" customHeight="1" x14ac:dyDescent="0.25">
      <c r="A50" s="276"/>
      <c r="B50" s="253" t="s">
        <v>8</v>
      </c>
      <c r="C50" s="102" t="s">
        <v>260</v>
      </c>
      <c r="D50" s="160" t="s">
        <v>64</v>
      </c>
      <c r="E50" s="35">
        <f t="shared" ref="E50:E56" si="2">IFERROR(VLOOKUP(D50, 기본학점, 2, FALSE), "")</f>
        <v>4</v>
      </c>
      <c r="F50" s="104">
        <v>4</v>
      </c>
      <c r="G50" s="134"/>
      <c r="H50" s="80"/>
      <c r="I50" s="34"/>
      <c r="J50" s="257" t="s">
        <v>304</v>
      </c>
      <c r="K50" s="14"/>
      <c r="L50" s="15"/>
      <c r="M50" s="97"/>
      <c r="N50" s="161"/>
      <c r="O50" s="267"/>
      <c r="P50" s="273"/>
    </row>
    <row r="51" spans="1:16" ht="15.6" customHeight="1" x14ac:dyDescent="0.25">
      <c r="A51" s="276"/>
      <c r="B51" s="254"/>
      <c r="C51" s="102" t="s">
        <v>260</v>
      </c>
      <c r="D51" s="158" t="s">
        <v>66</v>
      </c>
      <c r="E51" s="38">
        <f t="shared" si="2"/>
        <v>4</v>
      </c>
      <c r="F51" s="142">
        <v>4</v>
      </c>
      <c r="G51" s="134"/>
      <c r="H51" s="38"/>
      <c r="I51" s="37"/>
      <c r="J51" s="257"/>
      <c r="K51" s="10"/>
      <c r="L51" s="11"/>
      <c r="M51" s="96"/>
      <c r="N51" s="156"/>
      <c r="O51" s="267"/>
      <c r="P51" s="273"/>
    </row>
    <row r="52" spans="1:16" ht="15.6" customHeight="1" x14ac:dyDescent="0.25">
      <c r="A52" s="276"/>
      <c r="B52" s="254"/>
      <c r="C52" s="102" t="s">
        <v>260</v>
      </c>
      <c r="D52" s="158" t="s">
        <v>146</v>
      </c>
      <c r="E52" s="132">
        <f t="shared" si="2"/>
        <v>4</v>
      </c>
      <c r="F52" s="105">
        <v>4</v>
      </c>
      <c r="G52" s="37"/>
      <c r="H52" s="38"/>
      <c r="I52" s="37"/>
      <c r="J52" s="257"/>
      <c r="K52" s="10"/>
      <c r="L52" s="11"/>
      <c r="M52" s="96"/>
      <c r="N52" s="156"/>
      <c r="O52" s="267"/>
      <c r="P52" s="273"/>
    </row>
    <row r="53" spans="1:16" ht="15.6" customHeight="1" x14ac:dyDescent="0.25">
      <c r="A53" s="276"/>
      <c r="B53" s="255"/>
      <c r="C53" s="102" t="s">
        <v>260</v>
      </c>
      <c r="D53" s="162" t="s">
        <v>148</v>
      </c>
      <c r="E53" s="133">
        <f t="shared" si="2"/>
        <v>4</v>
      </c>
      <c r="F53" s="106">
        <v>4</v>
      </c>
      <c r="G53" s="37"/>
      <c r="H53" s="187"/>
      <c r="I53" s="146"/>
      <c r="J53" s="257"/>
      <c r="K53" s="148"/>
      <c r="L53" s="191"/>
      <c r="M53" s="138"/>
      <c r="N53" s="173"/>
      <c r="O53" s="267"/>
      <c r="P53" s="273"/>
    </row>
    <row r="54" spans="1:16" ht="15.6" customHeight="1" x14ac:dyDescent="0.25">
      <c r="A54" s="276"/>
      <c r="B54" s="186" t="s">
        <v>101</v>
      </c>
      <c r="C54" s="16" t="s">
        <v>260</v>
      </c>
      <c r="D54" s="160" t="s">
        <v>153</v>
      </c>
      <c r="E54" s="35">
        <f t="shared" si="2"/>
        <v>4</v>
      </c>
      <c r="F54" s="150">
        <v>4</v>
      </c>
      <c r="G54" s="135"/>
      <c r="H54" s="174"/>
      <c r="I54" s="205"/>
      <c r="J54" s="258" t="s">
        <v>294</v>
      </c>
      <c r="K54" s="47"/>
      <c r="L54" s="143"/>
      <c r="M54" s="125"/>
      <c r="N54" s="112"/>
      <c r="O54" s="267"/>
      <c r="P54" s="273"/>
    </row>
    <row r="55" spans="1:16" ht="15.6" customHeight="1" x14ac:dyDescent="0.25">
      <c r="A55" s="276"/>
      <c r="B55" s="253" t="s">
        <v>100</v>
      </c>
      <c r="C55" s="139" t="s">
        <v>260</v>
      </c>
      <c r="D55" s="160" t="s">
        <v>303</v>
      </c>
      <c r="E55" s="35">
        <f t="shared" si="2"/>
        <v>4</v>
      </c>
      <c r="F55" s="193">
        <v>4</v>
      </c>
      <c r="G55" s="134"/>
      <c r="H55" s="124"/>
      <c r="I55" s="42"/>
      <c r="J55" s="259"/>
      <c r="K55" s="22"/>
      <c r="L55" s="103"/>
      <c r="M55" s="110"/>
      <c r="N55" s="171"/>
      <c r="O55" s="267"/>
      <c r="P55" s="273"/>
    </row>
    <row r="56" spans="1:16" ht="15.6" customHeight="1" thickBot="1" x14ac:dyDescent="0.3">
      <c r="A56" s="277"/>
      <c r="B56" s="256"/>
      <c r="C56" s="140" t="s">
        <v>260</v>
      </c>
      <c r="D56" s="172" t="s">
        <v>307</v>
      </c>
      <c r="E56" s="167">
        <f t="shared" si="2"/>
        <v>4</v>
      </c>
      <c r="F56" s="117">
        <v>4</v>
      </c>
      <c r="G56" s="147"/>
      <c r="H56" s="189"/>
      <c r="I56" s="206"/>
      <c r="J56" s="260"/>
      <c r="K56" s="151"/>
      <c r="L56" s="221"/>
      <c r="M56" s="120"/>
      <c r="N56" s="175"/>
      <c r="O56" s="268"/>
      <c r="P56" s="274"/>
    </row>
    <row r="57" spans="1:16" ht="15.6" customHeight="1" x14ac:dyDescent="0.25">
      <c r="A57" s="275" t="s">
        <v>302</v>
      </c>
      <c r="B57" s="194" t="s">
        <v>7</v>
      </c>
      <c r="C57" s="209" t="s">
        <v>260</v>
      </c>
      <c r="D57" s="154" t="s">
        <v>295</v>
      </c>
      <c r="E57" s="210">
        <f t="shared" si="1"/>
        <v>4</v>
      </c>
      <c r="F57" s="93">
        <v>4</v>
      </c>
      <c r="G57" s="211"/>
      <c r="H57" s="212"/>
      <c r="I57" s="46"/>
      <c r="J57" s="213"/>
      <c r="K57" s="317" t="s">
        <v>293</v>
      </c>
      <c r="L57" s="214"/>
      <c r="M57" s="215"/>
      <c r="N57" s="216"/>
      <c r="O57" s="269">
        <v>28</v>
      </c>
      <c r="P57" s="270"/>
    </row>
    <row r="58" spans="1:16" ht="15.6" customHeight="1" x14ac:dyDescent="0.25">
      <c r="A58" s="276"/>
      <c r="B58" s="261" t="s">
        <v>183</v>
      </c>
      <c r="C58" s="16" t="s">
        <v>260</v>
      </c>
      <c r="D58" s="160" t="s">
        <v>296</v>
      </c>
      <c r="E58" s="35">
        <f t="shared" ref="E58:E71" si="3">IFERROR(VLOOKUP(D58, 기본학점, 2, FALSE), "")</f>
        <v>4</v>
      </c>
      <c r="F58" s="107">
        <v>4</v>
      </c>
      <c r="G58" s="69"/>
      <c r="H58" s="83"/>
      <c r="I58" s="34"/>
      <c r="J58" s="35"/>
      <c r="K58" s="318"/>
      <c r="L58" s="181"/>
      <c r="M58" s="97"/>
      <c r="N58" s="161"/>
      <c r="O58" s="267"/>
      <c r="P58" s="271"/>
    </row>
    <row r="59" spans="1:16" ht="15.6" customHeight="1" x14ac:dyDescent="0.25">
      <c r="A59" s="276"/>
      <c r="B59" s="262"/>
      <c r="C59" s="7" t="s">
        <v>260</v>
      </c>
      <c r="D59" s="158" t="s">
        <v>297</v>
      </c>
      <c r="E59" s="38">
        <f>IFERROR(VLOOKUP(D59, 기본학점, 2, FALSE), "")</f>
        <v>4</v>
      </c>
      <c r="F59" s="107">
        <v>4</v>
      </c>
      <c r="G59" s="43"/>
      <c r="H59" s="84"/>
      <c r="I59" s="37"/>
      <c r="J59" s="38"/>
      <c r="K59" s="318"/>
      <c r="L59" s="183"/>
      <c r="M59" s="96"/>
      <c r="N59" s="156"/>
      <c r="O59" s="267"/>
      <c r="P59" s="271"/>
    </row>
    <row r="60" spans="1:16" ht="15.6" customHeight="1" x14ac:dyDescent="0.25">
      <c r="A60" s="276"/>
      <c r="B60" s="262"/>
      <c r="C60" s="102" t="s">
        <v>260</v>
      </c>
      <c r="D60" s="158" t="s">
        <v>309</v>
      </c>
      <c r="E60" s="38">
        <v>4</v>
      </c>
      <c r="F60" s="105">
        <v>4</v>
      </c>
      <c r="G60" s="43"/>
      <c r="H60" s="84"/>
      <c r="I60" s="37"/>
      <c r="J60" s="38"/>
      <c r="K60" s="318"/>
      <c r="L60" s="183"/>
      <c r="M60" s="96" t="s">
        <v>300</v>
      </c>
      <c r="N60" s="156"/>
      <c r="O60" s="267"/>
      <c r="P60" s="271"/>
    </row>
    <row r="61" spans="1:16" ht="15.6" customHeight="1" x14ac:dyDescent="0.25">
      <c r="A61" s="276"/>
      <c r="B61" s="262"/>
      <c r="C61" s="7" t="s">
        <v>259</v>
      </c>
      <c r="D61" s="176" t="s">
        <v>120</v>
      </c>
      <c r="E61" s="38">
        <f>IFERROR(VLOOKUP(D61, 기본학점, 2, FALSE), "")</f>
        <v>4</v>
      </c>
      <c r="F61" s="107">
        <v>4</v>
      </c>
      <c r="G61" s="76"/>
      <c r="H61" s="87"/>
      <c r="I61" s="113"/>
      <c r="J61" s="114"/>
      <c r="K61" s="318"/>
      <c r="L61" s="183"/>
      <c r="M61" s="115"/>
      <c r="N61" s="159"/>
      <c r="O61" s="267"/>
      <c r="P61" s="271"/>
    </row>
    <row r="62" spans="1:16" ht="15.6" customHeight="1" x14ac:dyDescent="0.25">
      <c r="A62" s="276"/>
      <c r="B62" s="280"/>
      <c r="C62" s="116" t="s">
        <v>259</v>
      </c>
      <c r="D62" s="162" t="s">
        <v>121</v>
      </c>
      <c r="E62" s="38">
        <v>4</v>
      </c>
      <c r="F62" s="142">
        <v>4</v>
      </c>
      <c r="G62" s="70"/>
      <c r="H62" s="85"/>
      <c r="I62" s="44"/>
      <c r="J62" s="45"/>
      <c r="K62" s="318"/>
      <c r="L62" s="183"/>
      <c r="M62" s="141"/>
      <c r="N62" s="17"/>
      <c r="O62" s="267"/>
      <c r="P62" s="271"/>
    </row>
    <row r="63" spans="1:16" ht="15.6" customHeight="1" x14ac:dyDescent="0.25">
      <c r="A63" s="276"/>
      <c r="B63" s="261" t="s">
        <v>8</v>
      </c>
      <c r="C63" s="28" t="s">
        <v>260</v>
      </c>
      <c r="D63" s="160" t="s">
        <v>65</v>
      </c>
      <c r="E63" s="35">
        <f t="shared" si="3"/>
        <v>4</v>
      </c>
      <c r="F63" s="104">
        <v>4</v>
      </c>
      <c r="G63" s="69"/>
      <c r="H63" s="83"/>
      <c r="I63" s="12"/>
      <c r="J63" s="33"/>
      <c r="K63" s="318"/>
      <c r="L63" s="182"/>
      <c r="M63" s="97"/>
      <c r="N63" s="161"/>
      <c r="O63" s="267"/>
      <c r="P63" s="271"/>
    </row>
    <row r="64" spans="1:16" ht="15.6" customHeight="1" x14ac:dyDescent="0.25">
      <c r="A64" s="276"/>
      <c r="B64" s="262"/>
      <c r="C64" s="7" t="s">
        <v>260</v>
      </c>
      <c r="D64" s="158" t="s">
        <v>145</v>
      </c>
      <c r="E64" s="38">
        <f t="shared" si="3"/>
        <v>4</v>
      </c>
      <c r="F64" s="105">
        <v>4</v>
      </c>
      <c r="G64" s="43"/>
      <c r="H64" s="84"/>
      <c r="I64" s="8"/>
      <c r="J64" s="36"/>
      <c r="K64" s="318"/>
      <c r="L64" s="183"/>
      <c r="M64" s="96"/>
      <c r="N64" s="156"/>
      <c r="O64" s="267"/>
      <c r="P64" s="271"/>
    </row>
    <row r="65" spans="1:16" ht="15.6" customHeight="1" x14ac:dyDescent="0.25">
      <c r="A65" s="276"/>
      <c r="B65" s="262"/>
      <c r="C65" s="7" t="s">
        <v>260</v>
      </c>
      <c r="D65" s="158" t="s">
        <v>147</v>
      </c>
      <c r="E65" s="38">
        <f t="shared" si="3"/>
        <v>4</v>
      </c>
      <c r="F65" s="105">
        <v>4</v>
      </c>
      <c r="G65" s="77"/>
      <c r="H65" s="81"/>
      <c r="I65" s="39"/>
      <c r="J65" s="9"/>
      <c r="K65" s="318"/>
      <c r="L65" s="183"/>
      <c r="M65" s="96"/>
      <c r="N65" s="156"/>
      <c r="O65" s="267"/>
      <c r="P65" s="271"/>
    </row>
    <row r="66" spans="1:16" ht="15.6" customHeight="1" x14ac:dyDescent="0.25">
      <c r="A66" s="276"/>
      <c r="B66" s="280"/>
      <c r="C66" s="116" t="s">
        <v>260</v>
      </c>
      <c r="D66" s="162" t="s">
        <v>149</v>
      </c>
      <c r="E66" s="133">
        <f t="shared" si="3"/>
        <v>4</v>
      </c>
      <c r="F66" s="106">
        <v>4</v>
      </c>
      <c r="G66" s="78"/>
      <c r="H66" s="82"/>
      <c r="I66" s="40"/>
      <c r="J66" s="19"/>
      <c r="K66" s="319"/>
      <c r="L66" s="183"/>
      <c r="M66" s="141"/>
      <c r="N66" s="159"/>
      <c r="O66" s="267"/>
      <c r="P66" s="271"/>
    </row>
    <row r="67" spans="1:16" ht="15.6" customHeight="1" x14ac:dyDescent="0.25">
      <c r="A67" s="276"/>
      <c r="B67" s="190" t="s">
        <v>101</v>
      </c>
      <c r="C67" s="102" t="s">
        <v>260</v>
      </c>
      <c r="D67" s="160" t="s">
        <v>154</v>
      </c>
      <c r="E67" s="35">
        <f t="shared" si="3"/>
        <v>4</v>
      </c>
      <c r="F67" s="104">
        <v>4</v>
      </c>
      <c r="G67" s="69"/>
      <c r="H67" s="80"/>
      <c r="I67" s="12"/>
      <c r="J67" s="13"/>
      <c r="K67" s="320" t="s">
        <v>299</v>
      </c>
      <c r="L67" s="181"/>
      <c r="M67" s="97"/>
      <c r="N67" s="16"/>
      <c r="O67" s="267"/>
      <c r="P67" s="271"/>
    </row>
    <row r="68" spans="1:16" ht="15.6" customHeight="1" x14ac:dyDescent="0.25">
      <c r="A68" s="276"/>
      <c r="B68" s="312" t="s">
        <v>100</v>
      </c>
      <c r="C68" s="139" t="s">
        <v>265</v>
      </c>
      <c r="D68" s="177" t="s">
        <v>298</v>
      </c>
      <c r="E68" s="188">
        <f t="shared" si="3"/>
        <v>4</v>
      </c>
      <c r="F68" s="193">
        <v>4</v>
      </c>
      <c r="G68" s="126"/>
      <c r="H68" s="127"/>
      <c r="I68" s="12"/>
      <c r="J68" s="13"/>
      <c r="K68" s="318"/>
      <c r="L68" s="182"/>
      <c r="M68" s="97"/>
      <c r="N68" s="16"/>
      <c r="O68" s="267"/>
      <c r="P68" s="271"/>
    </row>
    <row r="69" spans="1:16" ht="15.6" customHeight="1" thickBot="1" x14ac:dyDescent="0.3">
      <c r="A69" s="276"/>
      <c r="B69" s="313"/>
      <c r="C69" s="140" t="s">
        <v>265</v>
      </c>
      <c r="D69" s="199" t="s">
        <v>83</v>
      </c>
      <c r="E69" s="86">
        <f t="shared" si="3"/>
        <v>4</v>
      </c>
      <c r="F69" s="117">
        <v>4</v>
      </c>
      <c r="G69" s="184"/>
      <c r="H69" s="129"/>
      <c r="I69" s="129"/>
      <c r="J69" s="41"/>
      <c r="K69" s="319"/>
      <c r="L69" s="203"/>
      <c r="M69" s="141"/>
      <c r="N69" s="17"/>
      <c r="O69" s="267"/>
      <c r="P69" s="271"/>
    </row>
    <row r="70" spans="1:16" ht="18" hidden="1" customHeight="1" thickBot="1" x14ac:dyDescent="0.3">
      <c r="A70" s="276"/>
      <c r="B70" s="68"/>
      <c r="C70" s="100" t="s">
        <v>265</v>
      </c>
      <c r="D70" s="201"/>
      <c r="E70" s="202" t="str">
        <f t="shared" si="3"/>
        <v/>
      </c>
      <c r="F70" s="178"/>
      <c r="G70" s="75"/>
      <c r="H70" s="130"/>
      <c r="I70" s="68"/>
      <c r="J70" s="149"/>
      <c r="K70" s="204"/>
      <c r="L70" s="191"/>
      <c r="M70" s="28"/>
      <c r="N70" s="28"/>
      <c r="O70" s="267"/>
      <c r="P70" s="271"/>
    </row>
    <row r="71" spans="1:16" ht="17.25" customHeight="1" x14ac:dyDescent="0.25">
      <c r="A71" s="276"/>
      <c r="B71" s="191" t="s">
        <v>7</v>
      </c>
      <c r="C71" s="102" t="s">
        <v>265</v>
      </c>
      <c r="D71" s="170" t="s">
        <v>58</v>
      </c>
      <c r="E71" s="169">
        <f t="shared" si="3"/>
        <v>4</v>
      </c>
      <c r="F71" s="200">
        <v>4</v>
      </c>
      <c r="G71" s="137"/>
      <c r="H71" s="152"/>
      <c r="I71" s="47"/>
      <c r="J71" s="143"/>
      <c r="K71" s="46"/>
      <c r="L71" s="261" t="s">
        <v>311</v>
      </c>
      <c r="M71" s="153"/>
      <c r="N71" s="136"/>
      <c r="O71" s="267"/>
      <c r="P71" s="271"/>
    </row>
    <row r="72" spans="1:16" ht="15.6" x14ac:dyDescent="0.25">
      <c r="A72" s="276"/>
      <c r="B72" s="261" t="s">
        <v>183</v>
      </c>
      <c r="C72" s="16" t="s">
        <v>265</v>
      </c>
      <c r="D72" s="160" t="s">
        <v>163</v>
      </c>
      <c r="E72" s="124">
        <f t="shared" ref="E72" si="4">IFERROR(VLOOKUP(D72, 기본학점, 2, FALSE), "")</f>
        <v>4</v>
      </c>
      <c r="F72" s="107">
        <v>4</v>
      </c>
      <c r="G72" s="42"/>
      <c r="H72" s="123"/>
      <c r="I72" s="34"/>
      <c r="J72" s="35"/>
      <c r="K72" s="34"/>
      <c r="L72" s="262"/>
      <c r="M72" s="97"/>
      <c r="N72" s="161"/>
      <c r="O72" s="267"/>
      <c r="P72" s="271"/>
    </row>
    <row r="73" spans="1:16" ht="15" customHeight="1" x14ac:dyDescent="0.25">
      <c r="A73" s="276"/>
      <c r="B73" s="262"/>
      <c r="C73" s="102" t="s">
        <v>265</v>
      </c>
      <c r="D73" s="170" t="s">
        <v>159</v>
      </c>
      <c r="E73" s="38">
        <f>IFERROR(VLOOKUP(D73, 기본학점, 2, FALSE), "")</f>
        <v>4</v>
      </c>
      <c r="F73" s="107">
        <v>4</v>
      </c>
      <c r="G73" s="43"/>
      <c r="H73" s="84"/>
      <c r="I73" s="37"/>
      <c r="J73" s="38"/>
      <c r="K73" s="37"/>
      <c r="L73" s="262"/>
      <c r="M73" s="96"/>
      <c r="N73" s="156"/>
      <c r="O73" s="267"/>
      <c r="P73" s="271"/>
    </row>
    <row r="74" spans="1:16" ht="15" customHeight="1" x14ac:dyDescent="0.25">
      <c r="A74" s="276"/>
      <c r="B74" s="262"/>
      <c r="C74" s="102" t="s">
        <v>265</v>
      </c>
      <c r="D74" s="158" t="s">
        <v>160</v>
      </c>
      <c r="E74" s="38">
        <f>IFERROR(VLOOKUP(D74, 기본학점, 2, FALSE), "")</f>
        <v>4</v>
      </c>
      <c r="F74" s="105">
        <v>4</v>
      </c>
      <c r="G74" s="43"/>
      <c r="H74" s="84"/>
      <c r="I74" s="37"/>
      <c r="J74" s="38"/>
      <c r="K74" s="37"/>
      <c r="L74" s="262"/>
      <c r="M74" s="96"/>
      <c r="N74" s="156"/>
      <c r="O74" s="267"/>
      <c r="P74" s="271"/>
    </row>
    <row r="75" spans="1:16" ht="17.25" customHeight="1" x14ac:dyDescent="0.25">
      <c r="A75" s="276"/>
      <c r="B75" s="280"/>
      <c r="C75" s="17" t="s">
        <v>265</v>
      </c>
      <c r="D75" s="158" t="s">
        <v>162</v>
      </c>
      <c r="E75" s="133">
        <f t="shared" ref="E75:E79" si="5">IFERROR(VLOOKUP(D75, 기본학점, 2, FALSE), "")</f>
        <v>4</v>
      </c>
      <c r="F75" s="106">
        <v>4</v>
      </c>
      <c r="G75" s="70"/>
      <c r="H75" s="85"/>
      <c r="I75" s="44"/>
      <c r="J75" s="45"/>
      <c r="K75" s="44"/>
      <c r="L75" s="262"/>
      <c r="M75" s="141"/>
      <c r="N75" s="17"/>
      <c r="O75" s="267"/>
      <c r="P75" s="271"/>
    </row>
    <row r="76" spans="1:16" ht="14.4" customHeight="1" x14ac:dyDescent="0.25">
      <c r="A76" s="276"/>
      <c r="B76" s="261" t="s">
        <v>8</v>
      </c>
      <c r="C76" s="7" t="s">
        <v>265</v>
      </c>
      <c r="D76" s="160" t="s">
        <v>165</v>
      </c>
      <c r="E76" s="35">
        <f t="shared" si="5"/>
        <v>4</v>
      </c>
      <c r="F76" s="105">
        <v>4</v>
      </c>
      <c r="G76" s="69"/>
      <c r="H76" s="83"/>
      <c r="I76" s="12"/>
      <c r="J76" s="33"/>
      <c r="K76" s="30"/>
      <c r="L76" s="262"/>
      <c r="M76" s="97"/>
      <c r="N76" s="161"/>
      <c r="O76" s="267"/>
      <c r="P76" s="271"/>
    </row>
    <row r="77" spans="1:16" ht="14.4" customHeight="1" x14ac:dyDescent="0.25">
      <c r="A77" s="276"/>
      <c r="B77" s="262"/>
      <c r="C77" s="24" t="s">
        <v>265</v>
      </c>
      <c r="D77" s="170" t="s">
        <v>164</v>
      </c>
      <c r="E77" s="124">
        <v>4</v>
      </c>
      <c r="F77" s="105">
        <v>4</v>
      </c>
      <c r="G77" s="42"/>
      <c r="H77" s="123"/>
      <c r="I77" s="5"/>
      <c r="J77" s="247"/>
      <c r="K77" s="249"/>
      <c r="L77" s="262"/>
      <c r="M77" s="110"/>
      <c r="N77" s="171"/>
      <c r="O77" s="267"/>
      <c r="P77" s="271"/>
    </row>
    <row r="78" spans="1:16" ht="12.6" customHeight="1" x14ac:dyDescent="0.25">
      <c r="A78" s="276"/>
      <c r="B78" s="262"/>
      <c r="C78" s="17" t="s">
        <v>265</v>
      </c>
      <c r="D78" s="158" t="s">
        <v>166</v>
      </c>
      <c r="E78" s="38">
        <f t="shared" si="5"/>
        <v>4</v>
      </c>
      <c r="F78" s="105">
        <v>4</v>
      </c>
      <c r="G78" s="43"/>
      <c r="H78" s="84"/>
      <c r="I78" s="8"/>
      <c r="J78" s="36"/>
      <c r="K78" s="208"/>
      <c r="L78" s="280"/>
      <c r="M78" s="96"/>
      <c r="N78" s="156"/>
      <c r="O78" s="267"/>
      <c r="P78" s="271"/>
    </row>
    <row r="79" spans="1:16" ht="14.4" customHeight="1" x14ac:dyDescent="0.25">
      <c r="A79" s="276"/>
      <c r="B79" s="261" t="s">
        <v>10</v>
      </c>
      <c r="C79" s="102" t="s">
        <v>260</v>
      </c>
      <c r="D79" s="160" t="s">
        <v>69</v>
      </c>
      <c r="E79" s="35">
        <f t="shared" si="5"/>
        <v>3</v>
      </c>
      <c r="F79" s="104">
        <v>4</v>
      </c>
      <c r="G79" s="79"/>
      <c r="H79" s="83"/>
      <c r="I79" s="30"/>
      <c r="J79" s="33"/>
      <c r="K79" s="30"/>
      <c r="L79" s="262" t="s">
        <v>305</v>
      </c>
      <c r="M79" s="97"/>
      <c r="N79" s="161"/>
      <c r="O79" s="267"/>
      <c r="P79" s="271"/>
    </row>
    <row r="80" spans="1:16" ht="14.4" customHeight="1" thickBot="1" x14ac:dyDescent="0.3">
      <c r="A80" s="277"/>
      <c r="B80" s="263"/>
      <c r="C80" s="140" t="s">
        <v>265</v>
      </c>
      <c r="D80" s="217" t="s">
        <v>44</v>
      </c>
      <c r="E80" s="218">
        <v>3</v>
      </c>
      <c r="F80" s="117">
        <v>4</v>
      </c>
      <c r="G80" s="219"/>
      <c r="H80" s="86"/>
      <c r="I80" s="220"/>
      <c r="J80" s="41"/>
      <c r="K80" s="184"/>
      <c r="L80" s="263"/>
      <c r="M80" s="111"/>
      <c r="N80" s="168"/>
      <c r="O80" s="268"/>
      <c r="P80" s="272"/>
    </row>
    <row r="81" spans="1:16" ht="15.6" x14ac:dyDescent="0.25">
      <c r="A81" s="314" t="s">
        <v>184</v>
      </c>
      <c r="B81" s="315"/>
      <c r="C81" s="315"/>
      <c r="D81" s="315"/>
      <c r="E81" s="316"/>
      <c r="F81" s="179"/>
      <c r="G81" s="46">
        <v>29</v>
      </c>
      <c r="H81" s="180">
        <v>29</v>
      </c>
      <c r="I81" s="46">
        <v>29</v>
      </c>
      <c r="J81" s="192">
        <v>29</v>
      </c>
      <c r="K81" s="46">
        <v>29</v>
      </c>
      <c r="L81" s="192">
        <v>29</v>
      </c>
      <c r="M81" s="93"/>
      <c r="N81" s="121"/>
      <c r="O81" s="222">
        <v>174</v>
      </c>
      <c r="P81" s="223">
        <v>84</v>
      </c>
    </row>
    <row r="82" spans="1:16" ht="15.6" x14ac:dyDescent="0.25">
      <c r="A82" s="264" t="s">
        <v>5</v>
      </c>
      <c r="B82" s="265"/>
      <c r="C82" s="265"/>
      <c r="D82" s="265"/>
      <c r="E82" s="266"/>
      <c r="F82" s="145">
        <v>18</v>
      </c>
      <c r="G82" s="204">
        <v>3</v>
      </c>
      <c r="H82" s="68">
        <v>3</v>
      </c>
      <c r="I82" s="185">
        <v>3</v>
      </c>
      <c r="J82" s="68">
        <v>3</v>
      </c>
      <c r="K82" s="185">
        <v>3</v>
      </c>
      <c r="L82" s="68">
        <v>3</v>
      </c>
      <c r="M82" s="142"/>
      <c r="N82" s="144"/>
      <c r="O82" s="224">
        <v>18</v>
      </c>
      <c r="P82" s="225">
        <v>18</v>
      </c>
    </row>
    <row r="83" spans="1:16" ht="15.6" x14ac:dyDescent="0.25">
      <c r="A83" s="264" t="s">
        <v>22</v>
      </c>
      <c r="B83" s="265"/>
      <c r="C83" s="265"/>
      <c r="D83" s="265"/>
      <c r="E83" s="265"/>
      <c r="F83" s="266"/>
      <c r="G83" s="47">
        <f>SUM(G81:G82)</f>
        <v>32</v>
      </c>
      <c r="H83" s="143">
        <f t="shared" ref="H83" si="6">SUM(H81:H82)</f>
        <v>32</v>
      </c>
      <c r="I83" s="47">
        <f>SUM(I81:I82)</f>
        <v>32</v>
      </c>
      <c r="J83" s="48">
        <f t="shared" ref="J83" si="7">SUM(J81:J82)</f>
        <v>32</v>
      </c>
      <c r="K83" s="47">
        <f>SUM(K81:K82)</f>
        <v>32</v>
      </c>
      <c r="L83" s="48">
        <f t="shared" ref="L83" si="8">SUM(L81:L82)</f>
        <v>32</v>
      </c>
      <c r="M83" s="145"/>
      <c r="N83" s="94"/>
      <c r="O83" s="327">
        <v>192</v>
      </c>
      <c r="P83" s="328"/>
    </row>
    <row r="84" spans="1:16" ht="15.6" x14ac:dyDescent="0.25">
      <c r="A84" s="264" t="s">
        <v>185</v>
      </c>
      <c r="B84" s="265"/>
      <c r="C84" s="265"/>
      <c r="D84" s="265"/>
      <c r="E84" s="265"/>
      <c r="F84" s="266"/>
      <c r="G84" s="94">
        <v>9</v>
      </c>
      <c r="H84" s="48">
        <v>9</v>
      </c>
      <c r="I84" s="47">
        <v>8</v>
      </c>
      <c r="J84" s="48">
        <v>8</v>
      </c>
      <c r="K84" s="47">
        <v>8</v>
      </c>
      <c r="L84" s="143">
        <v>8</v>
      </c>
      <c r="M84" s="145"/>
      <c r="N84" s="94"/>
      <c r="O84" s="331"/>
      <c r="P84" s="332"/>
    </row>
    <row r="85" spans="1:16" ht="16.2" thickBot="1" x14ac:dyDescent="0.3">
      <c r="A85" s="278" t="s">
        <v>23</v>
      </c>
      <c r="B85" s="279"/>
      <c r="C85" s="279"/>
      <c r="D85" s="279"/>
      <c r="E85" s="279"/>
      <c r="F85" s="261"/>
      <c r="G85" s="322">
        <f>SUM(G83:H83)</f>
        <v>64</v>
      </c>
      <c r="H85" s="261"/>
      <c r="I85" s="322">
        <f t="shared" ref="I85" si="9">SUM(I83:J83)</f>
        <v>64</v>
      </c>
      <c r="J85" s="261"/>
      <c r="K85" s="322">
        <f t="shared" ref="K85" si="10">SUM(K83:L83)</f>
        <v>64</v>
      </c>
      <c r="L85" s="261"/>
      <c r="M85" s="142"/>
      <c r="N85" s="144"/>
      <c r="O85" s="329">
        <v>192</v>
      </c>
      <c r="P85" s="330"/>
    </row>
    <row r="86" spans="1:16" ht="49.8" customHeight="1" thickBot="1" x14ac:dyDescent="0.3">
      <c r="A86" s="250" t="s">
        <v>308</v>
      </c>
      <c r="B86" s="251"/>
      <c r="C86" s="251"/>
      <c r="D86" s="251"/>
      <c r="E86" s="251"/>
      <c r="F86" s="251"/>
      <c r="G86" s="251"/>
      <c r="H86" s="251"/>
      <c r="I86" s="251"/>
      <c r="J86" s="251"/>
      <c r="K86" s="251"/>
      <c r="L86" s="251"/>
      <c r="M86" s="251"/>
      <c r="N86" s="251"/>
      <c r="O86" s="251"/>
      <c r="P86" s="252"/>
    </row>
    <row r="89" spans="1:16" x14ac:dyDescent="0.25">
      <c r="G89" s="128"/>
    </row>
  </sheetData>
  <mergeCells count="82">
    <mergeCell ref="L79:L80"/>
    <mergeCell ref="G85:H85"/>
    <mergeCell ref="I85:J85"/>
    <mergeCell ref="K85:L85"/>
    <mergeCell ref="P39:P40"/>
    <mergeCell ref="I42:I45"/>
    <mergeCell ref="I46:I48"/>
    <mergeCell ref="O83:P83"/>
    <mergeCell ref="O85:P85"/>
    <mergeCell ref="O84:P84"/>
    <mergeCell ref="O27:O28"/>
    <mergeCell ref="P29:P32"/>
    <mergeCell ref="P33:P38"/>
    <mergeCell ref="P27:P28"/>
    <mergeCell ref="L71:L78"/>
    <mergeCell ref="O39:O40"/>
    <mergeCell ref="O29:O32"/>
    <mergeCell ref="O33:O38"/>
    <mergeCell ref="A81:E81"/>
    <mergeCell ref="A82:E82"/>
    <mergeCell ref="K57:K66"/>
    <mergeCell ref="K67:K69"/>
    <mergeCell ref="A84:F84"/>
    <mergeCell ref="B47:B48"/>
    <mergeCell ref="A42:A56"/>
    <mergeCell ref="B68:B69"/>
    <mergeCell ref="B63:B66"/>
    <mergeCell ref="B58:B62"/>
    <mergeCell ref="A1:P1"/>
    <mergeCell ref="A3:A5"/>
    <mergeCell ref="B3:B5"/>
    <mergeCell ref="C3:C5"/>
    <mergeCell ref="E3:E5"/>
    <mergeCell ref="F3:F5"/>
    <mergeCell ref="P3:P5"/>
    <mergeCell ref="G4:G5"/>
    <mergeCell ref="H4:H5"/>
    <mergeCell ref="G3:H3"/>
    <mergeCell ref="I3:J3"/>
    <mergeCell ref="K3:L3"/>
    <mergeCell ref="M3:M5"/>
    <mergeCell ref="O3:O5"/>
    <mergeCell ref="I4:I5"/>
    <mergeCell ref="K2:P2"/>
    <mergeCell ref="A2:D2"/>
    <mergeCell ref="B7:B12"/>
    <mergeCell ref="J4:J5"/>
    <mergeCell ref="B25:B28"/>
    <mergeCell ref="B29:B32"/>
    <mergeCell ref="B19:B24"/>
    <mergeCell ref="A7:A41"/>
    <mergeCell ref="B39:B40"/>
    <mergeCell ref="B13:B18"/>
    <mergeCell ref="B33:B38"/>
    <mergeCell ref="K4:K5"/>
    <mergeCell ref="L4:L5"/>
    <mergeCell ref="P25:P26"/>
    <mergeCell ref="D3:D5"/>
    <mergeCell ref="N3:N5"/>
    <mergeCell ref="P13:P18"/>
    <mergeCell ref="P19:P24"/>
    <mergeCell ref="O7:O12"/>
    <mergeCell ref="P7:P12"/>
    <mergeCell ref="O13:O18"/>
    <mergeCell ref="O19:O24"/>
    <mergeCell ref="O25:O26"/>
    <mergeCell ref="A86:P86"/>
    <mergeCell ref="B50:B53"/>
    <mergeCell ref="B55:B56"/>
    <mergeCell ref="J50:J53"/>
    <mergeCell ref="J54:J56"/>
    <mergeCell ref="B76:B78"/>
    <mergeCell ref="B79:B80"/>
    <mergeCell ref="A83:F83"/>
    <mergeCell ref="O42:O56"/>
    <mergeCell ref="O57:O80"/>
    <mergeCell ref="P57:P80"/>
    <mergeCell ref="P42:P56"/>
    <mergeCell ref="A57:A80"/>
    <mergeCell ref="A85:F85"/>
    <mergeCell ref="B72:B75"/>
    <mergeCell ref="B42:B45"/>
  </mergeCells>
  <phoneticPr fontId="1" type="noConversion"/>
  <conditionalFormatting sqref="E7:E11">
    <cfRule type="expression" dxfId="16" priority="89">
      <formula>ISTEXT(E7)</formula>
    </cfRule>
  </conditionalFormatting>
  <conditionalFormatting sqref="E13:E17">
    <cfRule type="expression" dxfId="15" priority="88">
      <formula>ISTEXT(E13)</formula>
    </cfRule>
  </conditionalFormatting>
  <conditionalFormatting sqref="E19:E23">
    <cfRule type="expression" dxfId="14" priority="24">
      <formula>ISTEXT(E19)</formula>
    </cfRule>
  </conditionalFormatting>
  <conditionalFormatting sqref="E25">
    <cfRule type="expression" dxfId="13" priority="85">
      <formula>ISTEXT(E25)</formula>
    </cfRule>
  </conditionalFormatting>
  <conditionalFormatting sqref="E27">
    <cfRule type="expression" dxfId="12" priority="84">
      <formula>ISTEXT(E27)</formula>
    </cfRule>
  </conditionalFormatting>
  <conditionalFormatting sqref="E29:E31">
    <cfRule type="expression" dxfId="11" priority="90">
      <formula>ISTEXT(E29)</formula>
    </cfRule>
  </conditionalFormatting>
  <conditionalFormatting sqref="E33:E37">
    <cfRule type="expression" dxfId="10" priority="76">
      <formula>ISTEXT(E33)</formula>
    </cfRule>
  </conditionalFormatting>
  <conditionalFormatting sqref="E39">
    <cfRule type="expression" dxfId="9" priority="75">
      <formula>ISTEXT(E39)</formula>
    </cfRule>
  </conditionalFormatting>
  <conditionalFormatting sqref="E42:E44">
    <cfRule type="expression" dxfId="8" priority="44">
      <formula>ISTEXT(E42)</formula>
    </cfRule>
  </conditionalFormatting>
  <conditionalFormatting sqref="E46:E52">
    <cfRule type="expression" dxfId="7" priority="7">
      <formula>ISTEXT(E46)</formula>
    </cfRule>
  </conditionalFormatting>
  <conditionalFormatting sqref="E54:E65">
    <cfRule type="expression" dxfId="6" priority="3">
      <formula>ISTEXT(E54)</formula>
    </cfRule>
  </conditionalFormatting>
  <conditionalFormatting sqref="E67:E70">
    <cfRule type="expression" dxfId="5" priority="26">
      <formula>ISTEXT(E67)</formula>
    </cfRule>
  </conditionalFormatting>
  <conditionalFormatting sqref="E71:E74">
    <cfRule type="expression" dxfId="4" priority="21">
      <formula>ISTEXT(E71)</formula>
    </cfRule>
  </conditionalFormatting>
  <conditionalFormatting sqref="E76:E79">
    <cfRule type="expression" dxfId="3" priority="18">
      <formula>ISTEXT(E76)</formula>
    </cfRule>
  </conditionalFormatting>
  <dataValidations xWindow="521" yWindow="482" count="5">
    <dataValidation type="list" allowBlank="1" showInputMessage="1" showErrorMessage="1" sqref="C7:C37 C50:C53 C57:C80 C42:C45" xr:uid="{00000000-0002-0000-0000-000000000000}">
      <formula1>과목유형</formula1>
    </dataValidation>
    <dataValidation type="list" allowBlank="1" showInputMessage="1" showErrorMessage="1" sqref="B7:B10 B13:B80" xr:uid="{00000000-0002-0000-0000-000001000000}">
      <formula1>교과군</formula1>
    </dataValidation>
    <dataValidation type="list" allowBlank="1" showInputMessage="1" showErrorMessage="1" sqref="C38:C41 C46:C49 C54:C56" xr:uid="{00000000-0002-0000-0000-000002000000}">
      <formula1>과목유형2</formula1>
    </dataValidation>
    <dataValidation type="list" allowBlank="1" showInputMessage="1" sqref="N70 M7:M80" xr:uid="{00000000-0002-0000-0000-000003000000}">
      <formula1>비고</formula1>
    </dataValidation>
    <dataValidation type="list" allowBlank="1" showInputMessage="1" sqref="N71:N80 N7:N69" xr:uid="{00000000-0002-0000-0000-000004000000}">
      <formula1>과목개설유형</formula1>
    </dataValidation>
  </dataValidations>
  <pageMargins left="0.59055118110236227" right="0.19685039370078741" top="0.19685039370078741" bottom="0.19685039370078741" header="0" footer="0"/>
  <pageSetup paperSize="12" scale="74" orientation="portrait" r:id="rId1"/>
  <rowBreaks count="1" manualBreakCount="1">
    <brk id="56" max="15" man="1"/>
  </rowBreaks>
  <ignoredErrors>
    <ignoredError sqref="I83:K83" formulaRange="1"/>
  </ignoredErrors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15" id="{11387680-7706-43ED-AD88-3ADABCCCE2ED}">
            <xm:f>OR(F7&lt;INDEX(데이터베이스!F:F,MATCH(D7,데이터베이스!D:D,0)), F7&gt;INDEX(데이터베이스!G:G,MATCH(D7,데이터베이스!D:D,0)))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F7:F53 F55:F80</xm:sqref>
        </x14:conditionalFormatting>
        <x14:conditionalFormatting xmlns:xm="http://schemas.microsoft.com/office/excel/2006/main">
          <x14:cfRule type="expression" priority="12" id="{5EB89FE3-FD80-4649-A4B4-8F70830A5F3F}">
            <xm:f>OR(G56&lt;INDEX(데이터베이스!H:H,MATCH(F56,데이터베이스!F:F,0)), G56&gt;INDEX(데이터베이스!I:I,MATCH(F56,데이터베이스!F:F,0)))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G56</xm:sqref>
        </x14:conditionalFormatting>
        <x14:conditionalFormatting xmlns:xm="http://schemas.microsoft.com/office/excel/2006/main">
          <x14:cfRule type="expression" priority="119" id="{38F58375-E213-47B9-9208-659605DA8538}">
            <xm:f>OR(H50&lt;INDEX(데이터베이스!H:H,MATCH(#REF!,데이터베이스!F:F,0)), H50&gt;INDEX(데이터베이스!I:I,MATCH(#REF!,데이터베이스!F:F,0)))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H50:I56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521" yWindow="482" count="1">
        <x14:dataValidation type="list" allowBlank="1" showInputMessage="1" xr:uid="{00000000-0002-0000-0000-000005000000}">
          <x14:formula1>
            <xm:f>INDIRECT(VLOOKUP(LOOKUP(2,1/(B$7:B7&lt;&gt;""),B$7:B7), 데이터베이스!A:B, 2, FALSE) &amp; C7)</xm:f>
          </x14:formula1>
          <xm:sqref>D7:D80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980B-9AAF-4F9F-B320-0515406A1D92}">
  <dimension ref="A1"/>
  <sheetViews>
    <sheetView topLeftCell="A52" zoomScale="86" zoomScaleNormal="86" workbookViewId="0">
      <selection activeCell="O42" sqref="O42"/>
    </sheetView>
  </sheetViews>
  <sheetFormatPr defaultRowHeight="14.4" x14ac:dyDescent="0.25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M168"/>
  <sheetViews>
    <sheetView workbookViewId="0">
      <selection activeCell="B16" sqref="B16"/>
    </sheetView>
  </sheetViews>
  <sheetFormatPr defaultColWidth="8.796875" defaultRowHeight="13.2" x14ac:dyDescent="0.25"/>
  <cols>
    <col min="1" max="1" width="15.8984375" style="51" customWidth="1"/>
    <col min="2" max="3" width="10.59765625" style="51" customWidth="1"/>
    <col min="4" max="16384" width="8.796875" style="51"/>
  </cols>
  <sheetData>
    <row r="1" spans="1:39" ht="26.4" x14ac:dyDescent="0.25">
      <c r="A1" s="61" t="s">
        <v>3</v>
      </c>
      <c r="B1" s="62" t="s">
        <v>188</v>
      </c>
      <c r="C1" s="62" t="s">
        <v>236</v>
      </c>
      <c r="D1" s="49" t="s">
        <v>12</v>
      </c>
      <c r="E1" s="50" t="s">
        <v>198</v>
      </c>
      <c r="F1" s="50" t="s">
        <v>199</v>
      </c>
      <c r="G1" s="50" t="s">
        <v>200</v>
      </c>
      <c r="H1" s="50" t="s">
        <v>201</v>
      </c>
      <c r="I1" s="50" t="s">
        <v>202</v>
      </c>
      <c r="J1" s="50" t="s">
        <v>203</v>
      </c>
      <c r="K1" s="50" t="s">
        <v>204</v>
      </c>
      <c r="L1" s="50" t="s">
        <v>205</v>
      </c>
      <c r="M1" s="50" t="s">
        <v>206</v>
      </c>
      <c r="N1" s="50" t="s">
        <v>207</v>
      </c>
      <c r="O1" s="50" t="s">
        <v>208</v>
      </c>
      <c r="P1" s="50" t="s">
        <v>209</v>
      </c>
      <c r="Q1" s="50" t="s">
        <v>210</v>
      </c>
      <c r="R1" s="50" t="s">
        <v>211</v>
      </c>
      <c r="S1" s="50" t="s">
        <v>212</v>
      </c>
      <c r="T1" s="50" t="s">
        <v>213</v>
      </c>
      <c r="U1" s="50" t="s">
        <v>214</v>
      </c>
      <c r="V1" s="50" t="s">
        <v>215</v>
      </c>
      <c r="W1" s="50" t="s">
        <v>216</v>
      </c>
      <c r="X1" s="50" t="s">
        <v>217</v>
      </c>
      <c r="Y1" s="50" t="s">
        <v>218</v>
      </c>
      <c r="Z1" s="50" t="s">
        <v>219</v>
      </c>
      <c r="AA1" s="50" t="s">
        <v>220</v>
      </c>
      <c r="AB1" s="50" t="s">
        <v>221</v>
      </c>
      <c r="AC1" s="50" t="s">
        <v>222</v>
      </c>
      <c r="AD1" s="50" t="s">
        <v>223</v>
      </c>
      <c r="AE1" s="50" t="s">
        <v>224</v>
      </c>
      <c r="AF1" s="50" t="s">
        <v>225</v>
      </c>
      <c r="AG1" s="50" t="s">
        <v>226</v>
      </c>
      <c r="AH1" s="50" t="s">
        <v>227</v>
      </c>
      <c r="AI1" s="50" t="s">
        <v>228</v>
      </c>
      <c r="AJ1" s="50" t="s">
        <v>229</v>
      </c>
      <c r="AK1" s="50" t="s">
        <v>230</v>
      </c>
      <c r="AL1" s="50" t="s">
        <v>231</v>
      </c>
      <c r="AM1" s="50" t="s">
        <v>232</v>
      </c>
    </row>
    <row r="2" spans="1:39" x14ac:dyDescent="0.25">
      <c r="A2" s="61" t="s">
        <v>6</v>
      </c>
      <c r="B2" s="61" t="s">
        <v>189</v>
      </c>
      <c r="C2" s="61" t="s">
        <v>237</v>
      </c>
      <c r="D2" s="49" t="s">
        <v>15</v>
      </c>
      <c r="E2" s="52" t="s">
        <v>24</v>
      </c>
      <c r="F2" s="52" t="s">
        <v>53</v>
      </c>
      <c r="G2" s="52" t="s">
        <v>55</v>
      </c>
      <c r="H2" s="52" t="s">
        <v>56</v>
      </c>
      <c r="I2" s="52" t="s">
        <v>25</v>
      </c>
      <c r="J2" s="52" t="s">
        <v>51</v>
      </c>
      <c r="K2" s="52" t="s">
        <v>102</v>
      </c>
      <c r="L2" s="52" t="s">
        <v>58</v>
      </c>
      <c r="M2" s="52" t="s">
        <v>26</v>
      </c>
      <c r="N2" s="52" t="s">
        <v>52</v>
      </c>
      <c r="O2" s="52" t="s">
        <v>98</v>
      </c>
      <c r="P2" s="52" t="s">
        <v>60</v>
      </c>
      <c r="Q2" s="52" t="s">
        <v>111</v>
      </c>
      <c r="R2" s="52" t="s">
        <v>62</v>
      </c>
      <c r="S2" s="53" t="s">
        <v>138</v>
      </c>
      <c r="T2" s="52" t="s">
        <v>63</v>
      </c>
      <c r="U2" s="52" t="s">
        <v>115</v>
      </c>
      <c r="V2" s="52" t="s">
        <v>122</v>
      </c>
      <c r="W2" s="52" t="s">
        <v>64</v>
      </c>
      <c r="X2" s="52" t="s">
        <v>164</v>
      </c>
      <c r="Y2" s="53" t="s">
        <v>126</v>
      </c>
      <c r="Z2" s="52" t="s">
        <v>150</v>
      </c>
      <c r="AA2" s="52" t="s">
        <v>167</v>
      </c>
      <c r="AB2" s="52" t="s">
        <v>128</v>
      </c>
      <c r="AC2" s="52" t="s">
        <v>67</v>
      </c>
      <c r="AD2" s="52" t="s">
        <v>68</v>
      </c>
      <c r="AE2" s="52" t="s">
        <v>109</v>
      </c>
      <c r="AF2" s="52" t="s">
        <v>151</v>
      </c>
      <c r="AG2" s="52" t="s">
        <v>71</v>
      </c>
      <c r="AH2" s="52" t="s">
        <v>80</v>
      </c>
      <c r="AI2" s="53" t="s">
        <v>155</v>
      </c>
      <c r="AJ2" s="52" t="s">
        <v>171</v>
      </c>
      <c r="AK2" s="52" t="s">
        <v>73</v>
      </c>
      <c r="AL2" s="53" t="s">
        <v>85</v>
      </c>
      <c r="AM2" s="52" t="s">
        <v>87</v>
      </c>
    </row>
    <row r="3" spans="1:39" x14ac:dyDescent="0.25">
      <c r="A3" s="61" t="s">
        <v>7</v>
      </c>
      <c r="B3" s="61" t="s">
        <v>190</v>
      </c>
      <c r="C3" s="61" t="s">
        <v>237</v>
      </c>
      <c r="D3" s="49" t="s">
        <v>17</v>
      </c>
      <c r="E3" s="52" t="s">
        <v>28</v>
      </c>
      <c r="F3" s="52" t="s">
        <v>54</v>
      </c>
      <c r="G3" s="52" t="s">
        <v>74</v>
      </c>
      <c r="H3" s="52" t="s">
        <v>57</v>
      </c>
      <c r="I3" s="52" t="s">
        <v>31</v>
      </c>
      <c r="J3" s="52" t="s">
        <v>50</v>
      </c>
      <c r="K3" s="52" t="s">
        <v>103</v>
      </c>
      <c r="L3" s="52" t="s">
        <v>59</v>
      </c>
      <c r="M3" s="52" t="s">
        <v>37</v>
      </c>
      <c r="N3" s="53" t="s">
        <v>75</v>
      </c>
      <c r="O3" s="53" t="s">
        <v>76</v>
      </c>
      <c r="P3" s="52" t="s">
        <v>61</v>
      </c>
      <c r="Q3" s="52" t="s">
        <v>112</v>
      </c>
      <c r="R3" s="52" t="s">
        <v>119</v>
      </c>
      <c r="S3" s="52" t="s">
        <v>139</v>
      </c>
      <c r="T3" s="52" t="s">
        <v>159</v>
      </c>
      <c r="U3" s="52" t="s">
        <v>116</v>
      </c>
      <c r="V3" s="53" t="s">
        <v>123</v>
      </c>
      <c r="W3" s="52" t="s">
        <v>65</v>
      </c>
      <c r="X3" s="52" t="s">
        <v>165</v>
      </c>
      <c r="Y3" s="53" t="s">
        <v>127</v>
      </c>
      <c r="Z3" s="52" t="s">
        <v>106</v>
      </c>
      <c r="AA3" s="52" t="s">
        <v>168</v>
      </c>
      <c r="AB3" s="52" t="s">
        <v>78</v>
      </c>
      <c r="AC3" s="52" t="s">
        <v>69</v>
      </c>
      <c r="AD3" s="52" t="s">
        <v>44</v>
      </c>
      <c r="AE3" s="52" t="s">
        <v>45</v>
      </c>
      <c r="AF3" s="52" t="s">
        <v>152</v>
      </c>
      <c r="AG3" s="52" t="s">
        <v>72</v>
      </c>
      <c r="AH3" s="52" t="s">
        <v>129</v>
      </c>
      <c r="AI3" s="52" t="s">
        <v>156</v>
      </c>
      <c r="AJ3" s="52" t="s">
        <v>172</v>
      </c>
      <c r="AK3" s="52" t="s">
        <v>49</v>
      </c>
      <c r="AL3" s="52" t="s">
        <v>95</v>
      </c>
      <c r="AM3" s="52" t="s">
        <v>175</v>
      </c>
    </row>
    <row r="4" spans="1:39" x14ac:dyDescent="0.2">
      <c r="A4" s="61" t="s">
        <v>16</v>
      </c>
      <c r="B4" s="61" t="s">
        <v>191</v>
      </c>
      <c r="C4" s="61" t="s">
        <v>237</v>
      </c>
      <c r="D4" s="49" t="s">
        <v>18</v>
      </c>
      <c r="E4" s="54"/>
      <c r="F4" s="52" t="s">
        <v>27</v>
      </c>
      <c r="G4" s="52" t="s">
        <v>29</v>
      </c>
      <c r="H4" s="52" t="s">
        <v>30</v>
      </c>
      <c r="I4" s="52" t="s">
        <v>35</v>
      </c>
      <c r="J4" s="52" t="s">
        <v>32</v>
      </c>
      <c r="K4" s="52" t="s">
        <v>105</v>
      </c>
      <c r="L4" s="52" t="s">
        <v>34</v>
      </c>
      <c r="M4" s="52" t="s">
        <v>40</v>
      </c>
      <c r="N4" s="52" t="s">
        <v>38</v>
      </c>
      <c r="O4" s="53" t="s">
        <v>135</v>
      </c>
      <c r="P4" s="52" t="s">
        <v>39</v>
      </c>
      <c r="Q4" s="52" t="s">
        <v>113</v>
      </c>
      <c r="R4" s="52" t="s">
        <v>120</v>
      </c>
      <c r="S4" s="52" t="s">
        <v>140</v>
      </c>
      <c r="T4" s="52" t="s">
        <v>160</v>
      </c>
      <c r="U4" s="52" t="s">
        <v>117</v>
      </c>
      <c r="V4" s="52" t="s">
        <v>124</v>
      </c>
      <c r="W4" s="52" t="s">
        <v>66</v>
      </c>
      <c r="X4" s="52" t="s">
        <v>166</v>
      </c>
      <c r="Z4" s="52" t="s">
        <v>107</v>
      </c>
      <c r="AB4" s="52" t="s">
        <v>79</v>
      </c>
      <c r="AC4" s="52" t="s">
        <v>70</v>
      </c>
      <c r="AF4" s="53" t="s">
        <v>153</v>
      </c>
      <c r="AG4" s="52" t="s">
        <v>108</v>
      </c>
      <c r="AH4" s="52" t="s">
        <v>130</v>
      </c>
      <c r="AI4" s="53" t="s">
        <v>157</v>
      </c>
      <c r="AJ4" s="52" t="s">
        <v>173</v>
      </c>
      <c r="AL4" s="53" t="s">
        <v>86</v>
      </c>
    </row>
    <row r="5" spans="1:39" ht="26.4" x14ac:dyDescent="0.2">
      <c r="A5" s="62" t="s">
        <v>183</v>
      </c>
      <c r="B5" s="61" t="s">
        <v>192</v>
      </c>
      <c r="C5" s="61" t="s">
        <v>237</v>
      </c>
      <c r="D5" s="49" t="s">
        <v>110</v>
      </c>
      <c r="E5" s="54"/>
      <c r="F5" s="54"/>
      <c r="G5" s="54"/>
      <c r="H5" s="54"/>
      <c r="I5" s="52" t="s">
        <v>36</v>
      </c>
      <c r="J5" s="54"/>
      <c r="K5" s="52" t="s">
        <v>104</v>
      </c>
      <c r="L5" s="54"/>
      <c r="M5" s="52" t="s">
        <v>41</v>
      </c>
      <c r="N5" s="55"/>
      <c r="O5" s="52" t="s">
        <v>136</v>
      </c>
      <c r="P5" s="55"/>
      <c r="Q5" s="52" t="s">
        <v>114</v>
      </c>
      <c r="R5" s="52" t="s">
        <v>121</v>
      </c>
      <c r="S5" s="52" t="s">
        <v>141</v>
      </c>
      <c r="T5" s="52" t="s">
        <v>161</v>
      </c>
      <c r="U5" s="52" t="s">
        <v>118</v>
      </c>
      <c r="V5" s="53" t="s">
        <v>125</v>
      </c>
      <c r="W5" s="52" t="s">
        <v>145</v>
      </c>
      <c r="AC5" s="52" t="s">
        <v>43</v>
      </c>
      <c r="AF5" s="53" t="s">
        <v>154</v>
      </c>
      <c r="AG5" s="52" t="s">
        <v>169</v>
      </c>
      <c r="AH5" s="52" t="s">
        <v>131</v>
      </c>
      <c r="AI5" s="52" t="s">
        <v>158</v>
      </c>
      <c r="AJ5" s="52" t="s">
        <v>174</v>
      </c>
      <c r="AL5" s="52" t="s">
        <v>96</v>
      </c>
    </row>
    <row r="6" spans="1:39" x14ac:dyDescent="0.2">
      <c r="A6" s="61" t="s">
        <v>8</v>
      </c>
      <c r="B6" s="61" t="s">
        <v>193</v>
      </c>
      <c r="C6" s="61" t="s">
        <v>237</v>
      </c>
      <c r="E6" s="54"/>
      <c r="F6" s="54"/>
      <c r="G6" s="54"/>
      <c r="H6" s="54"/>
      <c r="I6" s="54"/>
      <c r="J6" s="54"/>
      <c r="K6" s="52" t="s">
        <v>33</v>
      </c>
      <c r="L6" s="54"/>
      <c r="M6" s="54"/>
      <c r="N6" s="54"/>
      <c r="O6" s="52" t="s">
        <v>137</v>
      </c>
      <c r="P6" s="55"/>
      <c r="S6" s="53" t="s">
        <v>142</v>
      </c>
      <c r="T6" s="52" t="s">
        <v>162</v>
      </c>
      <c r="W6" s="52" t="s">
        <v>146</v>
      </c>
      <c r="AG6" s="52" t="s">
        <v>170</v>
      </c>
      <c r="AH6" s="52" t="s">
        <v>132</v>
      </c>
      <c r="AI6" s="53" t="s">
        <v>81</v>
      </c>
      <c r="AJ6" s="52" t="s">
        <v>83</v>
      </c>
      <c r="AL6" s="53" t="s">
        <v>88</v>
      </c>
    </row>
    <row r="7" spans="1:39" x14ac:dyDescent="0.2">
      <c r="A7" s="61" t="s">
        <v>9</v>
      </c>
      <c r="B7" s="61" t="s">
        <v>194</v>
      </c>
      <c r="C7" s="61" t="s">
        <v>238</v>
      </c>
      <c r="E7" s="54"/>
      <c r="F7" s="54"/>
      <c r="G7" s="54"/>
      <c r="H7" s="54"/>
      <c r="I7" s="54"/>
      <c r="J7" s="54"/>
      <c r="K7" s="54"/>
      <c r="L7" s="54"/>
      <c r="M7" s="54"/>
      <c r="N7" s="54"/>
      <c r="O7" s="56"/>
      <c r="P7" s="55"/>
      <c r="S7" s="53" t="s">
        <v>143</v>
      </c>
      <c r="T7" s="52" t="s">
        <v>163</v>
      </c>
      <c r="W7" s="52" t="s">
        <v>147</v>
      </c>
      <c r="AH7" s="52" t="s">
        <v>133</v>
      </c>
      <c r="AI7" s="52" t="s">
        <v>90</v>
      </c>
      <c r="AJ7" s="52" t="s">
        <v>93</v>
      </c>
      <c r="AL7" s="52" t="s">
        <v>97</v>
      </c>
    </row>
    <row r="8" spans="1:39" x14ac:dyDescent="0.2">
      <c r="A8" s="61" t="s">
        <v>10</v>
      </c>
      <c r="B8" s="61" t="s">
        <v>195</v>
      </c>
      <c r="C8" s="61" t="s">
        <v>238</v>
      </c>
      <c r="E8" s="54"/>
      <c r="F8" s="54"/>
      <c r="G8" s="54"/>
      <c r="H8" s="54"/>
      <c r="I8" s="54"/>
      <c r="J8" s="54"/>
      <c r="K8" s="54"/>
      <c r="L8" s="54"/>
      <c r="M8" s="54"/>
      <c r="N8" s="54"/>
      <c r="O8" s="56"/>
      <c r="P8" s="54"/>
      <c r="S8" s="53" t="s">
        <v>144</v>
      </c>
      <c r="W8" s="52" t="s">
        <v>148</v>
      </c>
      <c r="AH8" s="52" t="s">
        <v>134</v>
      </c>
      <c r="AI8" s="53" t="s">
        <v>82</v>
      </c>
      <c r="AJ8" s="52" t="s">
        <v>84</v>
      </c>
    </row>
    <row r="9" spans="1:39" x14ac:dyDescent="0.2">
      <c r="A9" s="61" t="s">
        <v>186</v>
      </c>
      <c r="B9" s="61" t="s">
        <v>196</v>
      </c>
      <c r="C9" s="61" t="s">
        <v>238</v>
      </c>
      <c r="E9" s="54"/>
      <c r="F9" s="54"/>
      <c r="G9" s="54"/>
      <c r="H9" s="54"/>
      <c r="I9" s="54"/>
      <c r="J9" s="54"/>
      <c r="K9" s="54"/>
      <c r="L9" s="54"/>
      <c r="M9" s="54"/>
      <c r="N9" s="54"/>
      <c r="O9" s="55"/>
      <c r="P9" s="54"/>
      <c r="S9" s="52" t="s">
        <v>77</v>
      </c>
      <c r="W9" s="52" t="s">
        <v>149</v>
      </c>
      <c r="AH9" s="52" t="s">
        <v>89</v>
      </c>
      <c r="AI9" s="52" t="s">
        <v>91</v>
      </c>
      <c r="AJ9" s="52" t="s">
        <v>94</v>
      </c>
    </row>
    <row r="10" spans="1:39" x14ac:dyDescent="0.2">
      <c r="A10" s="61" t="s">
        <v>100</v>
      </c>
      <c r="B10" s="61" t="s">
        <v>197</v>
      </c>
      <c r="C10" s="61" t="s">
        <v>238</v>
      </c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5"/>
      <c r="P10" s="54"/>
      <c r="S10" s="52" t="s">
        <v>42</v>
      </c>
      <c r="AH10" s="52" t="s">
        <v>46</v>
      </c>
      <c r="AI10" s="53" t="s">
        <v>176</v>
      </c>
      <c r="AJ10" s="52" t="s">
        <v>48</v>
      </c>
    </row>
    <row r="11" spans="1:39" x14ac:dyDescent="0.25">
      <c r="A11" s="61" t="s">
        <v>187</v>
      </c>
      <c r="B11" s="61" t="s">
        <v>99</v>
      </c>
      <c r="C11" s="61" t="s">
        <v>238</v>
      </c>
      <c r="AI11" s="52" t="s">
        <v>177</v>
      </c>
    </row>
    <row r="12" spans="1:39" x14ac:dyDescent="0.25">
      <c r="AI12" s="53" t="s">
        <v>178</v>
      </c>
    </row>
    <row r="13" spans="1:39" x14ac:dyDescent="0.25">
      <c r="D13" s="59" t="s">
        <v>233</v>
      </c>
      <c r="E13" s="59" t="s">
        <v>257</v>
      </c>
      <c r="F13" s="59" t="s">
        <v>234</v>
      </c>
      <c r="G13" s="59" t="s">
        <v>235</v>
      </c>
      <c r="J13" s="90" t="s">
        <v>241</v>
      </c>
      <c r="K13" s="91" t="s">
        <v>239</v>
      </c>
      <c r="AI13" s="52" t="s">
        <v>179</v>
      </c>
    </row>
    <row r="14" spans="1:39" x14ac:dyDescent="0.25">
      <c r="D14" s="57" t="s">
        <v>24</v>
      </c>
      <c r="E14" s="59">
        <v>4</v>
      </c>
      <c r="F14" s="59">
        <v>3</v>
      </c>
      <c r="G14" s="59">
        <v>4</v>
      </c>
      <c r="J14" s="90" t="s">
        <v>242</v>
      </c>
      <c r="K14" s="91" t="s">
        <v>250</v>
      </c>
      <c r="AI14" s="53" t="s">
        <v>180</v>
      </c>
    </row>
    <row r="15" spans="1:39" x14ac:dyDescent="0.25">
      <c r="D15" s="57" t="s">
        <v>28</v>
      </c>
      <c r="E15" s="59">
        <v>4</v>
      </c>
      <c r="F15" s="59">
        <v>3</v>
      </c>
      <c r="G15" s="59">
        <v>4</v>
      </c>
      <c r="J15" s="90" t="s">
        <v>243</v>
      </c>
      <c r="K15" s="91" t="s">
        <v>251</v>
      </c>
      <c r="AI15" s="52" t="s">
        <v>181</v>
      </c>
    </row>
    <row r="16" spans="1:39" x14ac:dyDescent="0.25">
      <c r="D16" s="57" t="s">
        <v>25</v>
      </c>
      <c r="E16" s="59">
        <v>4</v>
      </c>
      <c r="F16" s="59">
        <v>3</v>
      </c>
      <c r="G16" s="59">
        <v>4</v>
      </c>
      <c r="J16" s="90" t="s">
        <v>244</v>
      </c>
      <c r="K16" s="91" t="s">
        <v>252</v>
      </c>
      <c r="AI16" s="53" t="s">
        <v>182</v>
      </c>
    </row>
    <row r="17" spans="4:35" x14ac:dyDescent="0.25">
      <c r="D17" s="57" t="s">
        <v>31</v>
      </c>
      <c r="E17" s="59">
        <v>4</v>
      </c>
      <c r="F17" s="59">
        <v>3</v>
      </c>
      <c r="G17" s="59">
        <v>4</v>
      </c>
      <c r="J17" s="90" t="s">
        <v>245</v>
      </c>
      <c r="AI17" s="52" t="s">
        <v>92</v>
      </c>
    </row>
    <row r="18" spans="4:35" x14ac:dyDescent="0.25">
      <c r="D18" s="57" t="s">
        <v>35</v>
      </c>
      <c r="E18" s="59">
        <v>4</v>
      </c>
      <c r="F18" s="59">
        <v>3</v>
      </c>
      <c r="G18" s="59">
        <v>4</v>
      </c>
      <c r="J18" s="90" t="s">
        <v>246</v>
      </c>
      <c r="K18" s="98"/>
      <c r="AI18" s="52" t="s">
        <v>47</v>
      </c>
    </row>
    <row r="19" spans="4:35" x14ac:dyDescent="0.25">
      <c r="D19" s="57" t="s">
        <v>36</v>
      </c>
      <c r="E19" s="59">
        <v>4</v>
      </c>
      <c r="F19" s="59">
        <v>3</v>
      </c>
      <c r="G19" s="59">
        <v>4</v>
      </c>
      <c r="J19" s="90" t="s">
        <v>247</v>
      </c>
      <c r="K19" s="98"/>
    </row>
    <row r="20" spans="4:35" x14ac:dyDescent="0.25">
      <c r="D20" s="57" t="s">
        <v>26</v>
      </c>
      <c r="E20" s="59">
        <v>4</v>
      </c>
      <c r="F20" s="59">
        <v>3</v>
      </c>
      <c r="G20" s="59">
        <v>4</v>
      </c>
      <c r="J20" s="90" t="s">
        <v>248</v>
      </c>
      <c r="K20" s="98"/>
    </row>
    <row r="21" spans="4:35" x14ac:dyDescent="0.25">
      <c r="D21" s="57" t="s">
        <v>37</v>
      </c>
      <c r="E21" s="59">
        <v>4</v>
      </c>
      <c r="F21" s="59">
        <v>3</v>
      </c>
      <c r="G21" s="59">
        <v>4</v>
      </c>
      <c r="J21" s="90" t="s">
        <v>249</v>
      </c>
      <c r="K21" s="98"/>
    </row>
    <row r="22" spans="4:35" x14ac:dyDescent="0.25">
      <c r="D22" s="57" t="s">
        <v>40</v>
      </c>
      <c r="E22" s="59">
        <v>4</v>
      </c>
      <c r="F22" s="59">
        <v>3</v>
      </c>
      <c r="G22" s="59">
        <v>4</v>
      </c>
      <c r="J22" s="90"/>
      <c r="K22" s="99"/>
    </row>
    <row r="23" spans="4:35" x14ac:dyDescent="0.25">
      <c r="D23" s="57" t="s">
        <v>41</v>
      </c>
      <c r="E23" s="59">
        <v>4</v>
      </c>
      <c r="F23" s="59">
        <v>3</v>
      </c>
      <c r="G23" s="59">
        <v>4</v>
      </c>
    </row>
    <row r="24" spans="4:35" x14ac:dyDescent="0.25">
      <c r="D24" s="57" t="s">
        <v>111</v>
      </c>
      <c r="E24" s="59">
        <v>3</v>
      </c>
      <c r="F24" s="59">
        <v>3</v>
      </c>
      <c r="G24" s="59">
        <v>3</v>
      </c>
    </row>
    <row r="25" spans="4:35" x14ac:dyDescent="0.25">
      <c r="D25" s="57" t="s">
        <v>112</v>
      </c>
      <c r="E25" s="59">
        <v>3</v>
      </c>
      <c r="F25" s="59">
        <v>3</v>
      </c>
      <c r="G25" s="59">
        <v>3</v>
      </c>
    </row>
    <row r="26" spans="4:35" x14ac:dyDescent="0.25">
      <c r="D26" s="57" t="s">
        <v>113</v>
      </c>
      <c r="E26" s="59">
        <v>4</v>
      </c>
      <c r="F26" s="59">
        <v>3</v>
      </c>
      <c r="G26" s="59">
        <v>4</v>
      </c>
    </row>
    <row r="27" spans="4:35" x14ac:dyDescent="0.25">
      <c r="D27" s="57" t="s">
        <v>114</v>
      </c>
      <c r="E27" s="59">
        <v>4</v>
      </c>
      <c r="F27" s="59">
        <v>3</v>
      </c>
      <c r="G27" s="59">
        <v>4</v>
      </c>
    </row>
    <row r="28" spans="4:35" x14ac:dyDescent="0.25">
      <c r="D28" s="57" t="s">
        <v>115</v>
      </c>
      <c r="E28" s="59">
        <v>4</v>
      </c>
      <c r="F28" s="59">
        <v>3</v>
      </c>
      <c r="G28" s="59">
        <v>4</v>
      </c>
    </row>
    <row r="29" spans="4:35" x14ac:dyDescent="0.25">
      <c r="D29" s="57" t="s">
        <v>116</v>
      </c>
      <c r="E29" s="59">
        <v>4</v>
      </c>
      <c r="F29" s="59">
        <v>3</v>
      </c>
      <c r="G29" s="59">
        <v>4</v>
      </c>
    </row>
    <row r="30" spans="4:35" x14ac:dyDescent="0.25">
      <c r="D30" s="57" t="s">
        <v>117</v>
      </c>
      <c r="E30" s="59">
        <v>1</v>
      </c>
      <c r="F30" s="59">
        <v>1</v>
      </c>
      <c r="G30" s="59">
        <v>1</v>
      </c>
    </row>
    <row r="31" spans="4:35" x14ac:dyDescent="0.25">
      <c r="D31" s="57" t="s">
        <v>118</v>
      </c>
      <c r="E31" s="59">
        <v>1</v>
      </c>
      <c r="F31" s="59">
        <v>1</v>
      </c>
      <c r="G31" s="59">
        <v>1</v>
      </c>
    </row>
    <row r="32" spans="4:35" x14ac:dyDescent="0.25">
      <c r="D32" s="57" t="s">
        <v>53</v>
      </c>
      <c r="E32" s="59">
        <v>4</v>
      </c>
      <c r="F32" s="59">
        <v>3</v>
      </c>
      <c r="G32" s="59">
        <v>5</v>
      </c>
    </row>
    <row r="33" spans="4:7" x14ac:dyDescent="0.25">
      <c r="D33" s="57" t="s">
        <v>54</v>
      </c>
      <c r="E33" s="59">
        <v>4</v>
      </c>
      <c r="F33" s="59">
        <v>3</v>
      </c>
      <c r="G33" s="59">
        <v>5</v>
      </c>
    </row>
    <row r="34" spans="4:7" x14ac:dyDescent="0.25">
      <c r="D34" s="57" t="s">
        <v>27</v>
      </c>
      <c r="E34" s="59">
        <v>4</v>
      </c>
      <c r="F34" s="59">
        <v>3</v>
      </c>
      <c r="G34" s="59">
        <v>5</v>
      </c>
    </row>
    <row r="35" spans="4:7" x14ac:dyDescent="0.25">
      <c r="D35" s="57" t="s">
        <v>51</v>
      </c>
      <c r="E35" s="59">
        <v>4</v>
      </c>
      <c r="F35" s="59">
        <v>3</v>
      </c>
      <c r="G35" s="59">
        <v>5</v>
      </c>
    </row>
    <row r="36" spans="4:7" x14ac:dyDescent="0.25">
      <c r="D36" s="57" t="s">
        <v>50</v>
      </c>
      <c r="E36" s="59">
        <v>4</v>
      </c>
      <c r="F36" s="59">
        <v>3</v>
      </c>
      <c r="G36" s="59">
        <v>5</v>
      </c>
    </row>
    <row r="37" spans="4:7" x14ac:dyDescent="0.25">
      <c r="D37" s="57" t="s">
        <v>32</v>
      </c>
      <c r="E37" s="59">
        <v>4</v>
      </c>
      <c r="F37" s="59">
        <v>3</v>
      </c>
      <c r="G37" s="59">
        <v>5</v>
      </c>
    </row>
    <row r="38" spans="4:7" x14ac:dyDescent="0.25">
      <c r="D38" s="57" t="s">
        <v>52</v>
      </c>
      <c r="E38" s="59">
        <v>4</v>
      </c>
      <c r="F38" s="59">
        <v>3</v>
      </c>
      <c r="G38" s="59">
        <v>5</v>
      </c>
    </row>
    <row r="39" spans="4:7" x14ac:dyDescent="0.25">
      <c r="D39" s="58" t="s">
        <v>75</v>
      </c>
      <c r="E39" s="59">
        <v>4</v>
      </c>
      <c r="F39" s="59">
        <v>3</v>
      </c>
      <c r="G39" s="59">
        <v>5</v>
      </c>
    </row>
    <row r="40" spans="4:7" x14ac:dyDescent="0.25">
      <c r="D40" s="57" t="s">
        <v>38</v>
      </c>
      <c r="E40" s="59">
        <v>4</v>
      </c>
      <c r="F40" s="59">
        <v>3</v>
      </c>
      <c r="G40" s="59">
        <v>5</v>
      </c>
    </row>
    <row r="41" spans="4:7" x14ac:dyDescent="0.25">
      <c r="D41" s="57" t="s">
        <v>62</v>
      </c>
      <c r="E41" s="59">
        <v>4</v>
      </c>
      <c r="F41" s="59">
        <v>3</v>
      </c>
      <c r="G41" s="59">
        <v>5</v>
      </c>
    </row>
    <row r="42" spans="4:7" x14ac:dyDescent="0.25">
      <c r="D42" s="57" t="s">
        <v>119</v>
      </c>
      <c r="E42" s="59">
        <v>4</v>
      </c>
      <c r="F42" s="59">
        <v>3</v>
      </c>
      <c r="G42" s="59">
        <v>5</v>
      </c>
    </row>
    <row r="43" spans="4:7" x14ac:dyDescent="0.25">
      <c r="D43" s="57" t="s">
        <v>120</v>
      </c>
      <c r="E43" s="59">
        <v>4</v>
      </c>
      <c r="F43" s="59">
        <v>3</v>
      </c>
      <c r="G43" s="59">
        <v>5</v>
      </c>
    </row>
    <row r="44" spans="4:7" x14ac:dyDescent="0.25">
      <c r="D44" s="57" t="s">
        <v>121</v>
      </c>
      <c r="E44" s="59">
        <v>4</v>
      </c>
      <c r="F44" s="59">
        <v>3</v>
      </c>
      <c r="G44" s="59">
        <v>5</v>
      </c>
    </row>
    <row r="45" spans="4:7" x14ac:dyDescent="0.25">
      <c r="D45" s="57" t="s">
        <v>122</v>
      </c>
      <c r="E45" s="59">
        <v>4</v>
      </c>
      <c r="F45" s="59">
        <v>3</v>
      </c>
      <c r="G45" s="59">
        <v>5</v>
      </c>
    </row>
    <row r="46" spans="4:7" x14ac:dyDescent="0.25">
      <c r="D46" s="58" t="s">
        <v>123</v>
      </c>
      <c r="E46" s="59">
        <v>4</v>
      </c>
      <c r="F46" s="59">
        <v>3</v>
      </c>
      <c r="G46" s="59">
        <v>5</v>
      </c>
    </row>
    <row r="47" spans="4:7" x14ac:dyDescent="0.25">
      <c r="D47" s="57" t="s">
        <v>124</v>
      </c>
      <c r="E47" s="59">
        <v>4</v>
      </c>
      <c r="F47" s="59">
        <v>3</v>
      </c>
      <c r="G47" s="59">
        <v>5</v>
      </c>
    </row>
    <row r="48" spans="4:7" x14ac:dyDescent="0.25">
      <c r="D48" s="58" t="s">
        <v>125</v>
      </c>
      <c r="E48" s="59">
        <v>4</v>
      </c>
      <c r="F48" s="59">
        <v>3</v>
      </c>
      <c r="G48" s="59">
        <v>5</v>
      </c>
    </row>
    <row r="49" spans="4:7" x14ac:dyDescent="0.25">
      <c r="D49" s="58" t="s">
        <v>126</v>
      </c>
      <c r="E49" s="59">
        <v>3</v>
      </c>
      <c r="F49" s="59">
        <v>2</v>
      </c>
      <c r="G49" s="59">
        <v>4</v>
      </c>
    </row>
    <row r="50" spans="4:7" x14ac:dyDescent="0.25">
      <c r="D50" s="58" t="s">
        <v>127</v>
      </c>
      <c r="E50" s="59">
        <v>3</v>
      </c>
      <c r="F50" s="59">
        <v>2</v>
      </c>
      <c r="G50" s="59">
        <v>4</v>
      </c>
    </row>
    <row r="51" spans="4:7" x14ac:dyDescent="0.25">
      <c r="D51" s="57" t="s">
        <v>128</v>
      </c>
      <c r="E51" s="59">
        <v>3</v>
      </c>
      <c r="F51" s="59">
        <v>2</v>
      </c>
      <c r="G51" s="59">
        <v>4</v>
      </c>
    </row>
    <row r="52" spans="4:7" x14ac:dyDescent="0.25">
      <c r="D52" s="57" t="s">
        <v>78</v>
      </c>
      <c r="E52" s="59">
        <v>3</v>
      </c>
      <c r="F52" s="59">
        <v>2</v>
      </c>
      <c r="G52" s="59">
        <v>4</v>
      </c>
    </row>
    <row r="53" spans="4:7" x14ac:dyDescent="0.25">
      <c r="D53" s="57" t="s">
        <v>79</v>
      </c>
      <c r="E53" s="59">
        <v>3</v>
      </c>
      <c r="F53" s="59">
        <v>2</v>
      </c>
      <c r="G53" s="59">
        <v>4</v>
      </c>
    </row>
    <row r="54" spans="4:7" x14ac:dyDescent="0.25">
      <c r="D54" s="57" t="s">
        <v>109</v>
      </c>
      <c r="E54" s="59">
        <v>4</v>
      </c>
      <c r="F54" s="59">
        <v>3</v>
      </c>
      <c r="G54" s="59">
        <v>5</v>
      </c>
    </row>
    <row r="55" spans="4:7" x14ac:dyDescent="0.25">
      <c r="D55" s="57" t="s">
        <v>45</v>
      </c>
      <c r="E55" s="59">
        <v>4</v>
      </c>
      <c r="F55" s="59">
        <v>3</v>
      </c>
      <c r="G55" s="59">
        <v>5</v>
      </c>
    </row>
    <row r="56" spans="4:7" x14ac:dyDescent="0.25">
      <c r="D56" s="57" t="s">
        <v>80</v>
      </c>
      <c r="E56" s="59">
        <v>4</v>
      </c>
      <c r="F56" s="59">
        <v>3</v>
      </c>
      <c r="G56" s="59">
        <v>5</v>
      </c>
    </row>
    <row r="57" spans="4:7" x14ac:dyDescent="0.25">
      <c r="D57" s="57" t="s">
        <v>129</v>
      </c>
      <c r="E57" s="59">
        <v>4</v>
      </c>
      <c r="F57" s="59">
        <v>3</v>
      </c>
      <c r="G57" s="59">
        <v>5</v>
      </c>
    </row>
    <row r="58" spans="4:7" x14ac:dyDescent="0.25">
      <c r="D58" s="57" t="s">
        <v>130</v>
      </c>
      <c r="E58" s="59">
        <v>4</v>
      </c>
      <c r="F58" s="59">
        <v>3</v>
      </c>
      <c r="G58" s="59">
        <v>5</v>
      </c>
    </row>
    <row r="59" spans="4:7" x14ac:dyDescent="0.25">
      <c r="D59" s="57" t="s">
        <v>131</v>
      </c>
      <c r="E59" s="59">
        <v>4</v>
      </c>
      <c r="F59" s="59">
        <v>3</v>
      </c>
      <c r="G59" s="59">
        <v>5</v>
      </c>
    </row>
    <row r="60" spans="4:7" x14ac:dyDescent="0.25">
      <c r="D60" s="57" t="s">
        <v>132</v>
      </c>
      <c r="E60" s="59">
        <v>4</v>
      </c>
      <c r="F60" s="59">
        <v>3</v>
      </c>
      <c r="G60" s="59">
        <v>5</v>
      </c>
    </row>
    <row r="61" spans="4:7" x14ac:dyDescent="0.25">
      <c r="D61" s="57" t="s">
        <v>133</v>
      </c>
      <c r="E61" s="59">
        <v>4</v>
      </c>
      <c r="F61" s="59">
        <v>3</v>
      </c>
      <c r="G61" s="59">
        <v>5</v>
      </c>
    </row>
    <row r="62" spans="4:7" x14ac:dyDescent="0.25">
      <c r="D62" s="57" t="s">
        <v>134</v>
      </c>
      <c r="E62" s="59">
        <v>4</v>
      </c>
      <c r="F62" s="59">
        <v>3</v>
      </c>
      <c r="G62" s="59">
        <v>5</v>
      </c>
    </row>
    <row r="63" spans="4:7" x14ac:dyDescent="0.25">
      <c r="D63" s="57" t="s">
        <v>89</v>
      </c>
      <c r="E63" s="59">
        <v>4</v>
      </c>
      <c r="F63" s="59">
        <v>3</v>
      </c>
      <c r="G63" s="59">
        <v>5</v>
      </c>
    </row>
    <row r="64" spans="4:7" x14ac:dyDescent="0.25">
      <c r="D64" s="57" t="s">
        <v>46</v>
      </c>
      <c r="E64" s="59">
        <v>4</v>
      </c>
      <c r="F64" s="59">
        <v>3</v>
      </c>
      <c r="G64" s="59">
        <v>5</v>
      </c>
    </row>
    <row r="65" spans="4:7" x14ac:dyDescent="0.25">
      <c r="D65" s="57" t="s">
        <v>73</v>
      </c>
      <c r="E65" s="59">
        <v>3</v>
      </c>
      <c r="F65" s="59">
        <v>2</v>
      </c>
      <c r="G65" s="59">
        <v>4</v>
      </c>
    </row>
    <row r="66" spans="4:7" x14ac:dyDescent="0.25">
      <c r="D66" s="57" t="s">
        <v>49</v>
      </c>
      <c r="E66" s="59">
        <v>3</v>
      </c>
      <c r="F66" s="59">
        <v>2</v>
      </c>
      <c r="G66" s="59">
        <v>4</v>
      </c>
    </row>
    <row r="67" spans="4:7" x14ac:dyDescent="0.25">
      <c r="D67" s="57" t="s">
        <v>55</v>
      </c>
      <c r="E67" s="59">
        <v>4</v>
      </c>
      <c r="F67" s="59">
        <v>3</v>
      </c>
      <c r="G67" s="59">
        <v>5</v>
      </c>
    </row>
    <row r="68" spans="4:7" x14ac:dyDescent="0.25">
      <c r="D68" s="57" t="s">
        <v>74</v>
      </c>
      <c r="E68" s="59">
        <v>4</v>
      </c>
      <c r="F68" s="59">
        <v>3</v>
      </c>
      <c r="G68" s="59">
        <v>5</v>
      </c>
    </row>
    <row r="69" spans="4:7" x14ac:dyDescent="0.25">
      <c r="D69" s="57" t="s">
        <v>29</v>
      </c>
      <c r="E69" s="59">
        <v>4</v>
      </c>
      <c r="F69" s="59">
        <v>3</v>
      </c>
      <c r="G69" s="59">
        <v>5</v>
      </c>
    </row>
    <row r="70" spans="4:7" x14ac:dyDescent="0.25">
      <c r="D70" s="57" t="s">
        <v>102</v>
      </c>
      <c r="E70" s="59">
        <v>4</v>
      </c>
      <c r="F70" s="59">
        <v>3</v>
      </c>
      <c r="G70" s="59">
        <v>5</v>
      </c>
    </row>
    <row r="71" spans="4:7" x14ac:dyDescent="0.25">
      <c r="D71" s="57" t="s">
        <v>103</v>
      </c>
      <c r="E71" s="59">
        <v>4</v>
      </c>
      <c r="F71" s="59">
        <v>3</v>
      </c>
      <c r="G71" s="59">
        <v>5</v>
      </c>
    </row>
    <row r="72" spans="4:7" x14ac:dyDescent="0.25">
      <c r="D72" s="57" t="s">
        <v>105</v>
      </c>
      <c r="E72" s="59">
        <v>4</v>
      </c>
      <c r="F72" s="59">
        <v>3</v>
      </c>
      <c r="G72" s="59">
        <v>5</v>
      </c>
    </row>
    <row r="73" spans="4:7" x14ac:dyDescent="0.25">
      <c r="D73" s="57" t="s">
        <v>104</v>
      </c>
      <c r="E73" s="59">
        <v>4</v>
      </c>
      <c r="F73" s="59">
        <v>3</v>
      </c>
      <c r="G73" s="59">
        <v>5</v>
      </c>
    </row>
    <row r="74" spans="4:7" x14ac:dyDescent="0.25">
      <c r="D74" s="57" t="s">
        <v>33</v>
      </c>
      <c r="E74" s="59">
        <v>4</v>
      </c>
      <c r="F74" s="59">
        <v>3</v>
      </c>
      <c r="G74" s="59">
        <v>5</v>
      </c>
    </row>
    <row r="75" spans="4:7" x14ac:dyDescent="0.25">
      <c r="D75" s="57" t="s">
        <v>98</v>
      </c>
      <c r="E75" s="59">
        <v>4</v>
      </c>
      <c r="F75" s="59">
        <v>3</v>
      </c>
      <c r="G75" s="59">
        <v>5</v>
      </c>
    </row>
    <row r="76" spans="4:7" x14ac:dyDescent="0.25">
      <c r="D76" s="58" t="s">
        <v>76</v>
      </c>
      <c r="E76" s="59">
        <v>4</v>
      </c>
      <c r="F76" s="59">
        <v>3</v>
      </c>
      <c r="G76" s="59">
        <v>5</v>
      </c>
    </row>
    <row r="77" spans="4:7" x14ac:dyDescent="0.25">
      <c r="D77" s="58" t="s">
        <v>135</v>
      </c>
      <c r="E77" s="59">
        <v>4</v>
      </c>
      <c r="F77" s="59">
        <v>3</v>
      </c>
      <c r="G77" s="59">
        <v>5</v>
      </c>
    </row>
    <row r="78" spans="4:7" x14ac:dyDescent="0.25">
      <c r="D78" s="57" t="s">
        <v>136</v>
      </c>
      <c r="E78" s="59">
        <v>4</v>
      </c>
      <c r="F78" s="59">
        <v>3</v>
      </c>
      <c r="G78" s="59">
        <v>5</v>
      </c>
    </row>
    <row r="79" spans="4:7" x14ac:dyDescent="0.25">
      <c r="D79" s="57" t="s">
        <v>137</v>
      </c>
      <c r="E79" s="59">
        <v>4</v>
      </c>
      <c r="F79" s="59">
        <v>3</v>
      </c>
      <c r="G79" s="59">
        <v>5</v>
      </c>
    </row>
    <row r="80" spans="4:7" x14ac:dyDescent="0.25">
      <c r="D80" s="58" t="s">
        <v>138</v>
      </c>
      <c r="E80" s="59">
        <v>4</v>
      </c>
      <c r="F80" s="59">
        <v>3</v>
      </c>
      <c r="G80" s="59">
        <v>5</v>
      </c>
    </row>
    <row r="81" spans="4:7" x14ac:dyDescent="0.25">
      <c r="D81" s="57" t="s">
        <v>139</v>
      </c>
      <c r="E81" s="59">
        <v>4</v>
      </c>
      <c r="F81" s="59">
        <v>3</v>
      </c>
      <c r="G81" s="59">
        <v>5</v>
      </c>
    </row>
    <row r="82" spans="4:7" x14ac:dyDescent="0.25">
      <c r="D82" s="57" t="s">
        <v>140</v>
      </c>
      <c r="E82" s="59">
        <v>4</v>
      </c>
      <c r="F82" s="59">
        <v>3</v>
      </c>
      <c r="G82" s="59">
        <v>5</v>
      </c>
    </row>
    <row r="83" spans="4:7" x14ac:dyDescent="0.25">
      <c r="D83" s="57" t="s">
        <v>141</v>
      </c>
      <c r="E83" s="59">
        <v>4</v>
      </c>
      <c r="F83" s="59">
        <v>3</v>
      </c>
      <c r="G83" s="59">
        <v>5</v>
      </c>
    </row>
    <row r="84" spans="4:7" x14ac:dyDescent="0.25">
      <c r="D84" s="58" t="s">
        <v>142</v>
      </c>
      <c r="E84" s="59">
        <v>4</v>
      </c>
      <c r="F84" s="59">
        <v>3</v>
      </c>
      <c r="G84" s="59">
        <v>5</v>
      </c>
    </row>
    <row r="85" spans="4:7" x14ac:dyDescent="0.25">
      <c r="D85" s="58" t="s">
        <v>143</v>
      </c>
      <c r="E85" s="59">
        <v>4</v>
      </c>
      <c r="F85" s="59">
        <v>3</v>
      </c>
      <c r="G85" s="59">
        <v>5</v>
      </c>
    </row>
    <row r="86" spans="4:7" x14ac:dyDescent="0.25">
      <c r="D86" s="58" t="s">
        <v>144</v>
      </c>
      <c r="E86" s="59">
        <v>4</v>
      </c>
      <c r="F86" s="59">
        <v>3</v>
      </c>
      <c r="G86" s="59">
        <v>5</v>
      </c>
    </row>
    <row r="87" spans="4:7" x14ac:dyDescent="0.25">
      <c r="D87" s="57" t="s">
        <v>77</v>
      </c>
      <c r="E87" s="59">
        <v>4</v>
      </c>
      <c r="F87" s="59">
        <v>3</v>
      </c>
      <c r="G87" s="59">
        <v>5</v>
      </c>
    </row>
    <row r="88" spans="4:7" x14ac:dyDescent="0.25">
      <c r="D88" s="57" t="s">
        <v>42</v>
      </c>
      <c r="E88" s="59">
        <v>4</v>
      </c>
      <c r="F88" s="59">
        <v>3</v>
      </c>
      <c r="G88" s="59">
        <v>5</v>
      </c>
    </row>
    <row r="89" spans="4:7" x14ac:dyDescent="0.25">
      <c r="D89" s="57" t="s">
        <v>64</v>
      </c>
      <c r="E89" s="59">
        <v>4</v>
      </c>
      <c r="F89" s="59">
        <v>3</v>
      </c>
      <c r="G89" s="59">
        <v>5</v>
      </c>
    </row>
    <row r="90" spans="4:7" x14ac:dyDescent="0.25">
      <c r="D90" s="57" t="s">
        <v>65</v>
      </c>
      <c r="E90" s="59">
        <v>4</v>
      </c>
      <c r="F90" s="59">
        <v>3</v>
      </c>
      <c r="G90" s="59">
        <v>5</v>
      </c>
    </row>
    <row r="91" spans="4:7" x14ac:dyDescent="0.25">
      <c r="D91" s="57" t="s">
        <v>66</v>
      </c>
      <c r="E91" s="59">
        <v>4</v>
      </c>
      <c r="F91" s="59">
        <v>3</v>
      </c>
      <c r="G91" s="59">
        <v>5</v>
      </c>
    </row>
    <row r="92" spans="4:7" x14ac:dyDescent="0.25">
      <c r="D92" s="57" t="s">
        <v>145</v>
      </c>
      <c r="E92" s="59">
        <v>4</v>
      </c>
      <c r="F92" s="59">
        <v>3</v>
      </c>
      <c r="G92" s="59">
        <v>5</v>
      </c>
    </row>
    <row r="93" spans="4:7" x14ac:dyDescent="0.25">
      <c r="D93" s="57" t="s">
        <v>146</v>
      </c>
      <c r="E93" s="59">
        <v>4</v>
      </c>
      <c r="F93" s="59">
        <v>3</v>
      </c>
      <c r="G93" s="59">
        <v>5</v>
      </c>
    </row>
    <row r="94" spans="4:7" x14ac:dyDescent="0.25">
      <c r="D94" s="57" t="s">
        <v>147</v>
      </c>
      <c r="E94" s="59">
        <v>4</v>
      </c>
      <c r="F94" s="59">
        <v>3</v>
      </c>
      <c r="G94" s="59">
        <v>5</v>
      </c>
    </row>
    <row r="95" spans="4:7" x14ac:dyDescent="0.25">
      <c r="D95" s="57" t="s">
        <v>148</v>
      </c>
      <c r="E95" s="59">
        <v>4</v>
      </c>
      <c r="F95" s="59">
        <v>3</v>
      </c>
      <c r="G95" s="59">
        <v>5</v>
      </c>
    </row>
    <row r="96" spans="4:7" x14ac:dyDescent="0.25">
      <c r="D96" s="57" t="s">
        <v>149</v>
      </c>
      <c r="E96" s="59">
        <v>4</v>
      </c>
      <c r="F96" s="59">
        <v>3</v>
      </c>
      <c r="G96" s="59">
        <v>5</v>
      </c>
    </row>
    <row r="97" spans="4:7" x14ac:dyDescent="0.25">
      <c r="D97" s="57" t="s">
        <v>150</v>
      </c>
      <c r="E97" s="59">
        <v>3</v>
      </c>
      <c r="F97" s="59">
        <v>2</v>
      </c>
      <c r="G97" s="59">
        <v>4</v>
      </c>
    </row>
    <row r="98" spans="4:7" x14ac:dyDescent="0.25">
      <c r="D98" s="57" t="s">
        <v>106</v>
      </c>
      <c r="E98" s="60">
        <v>2</v>
      </c>
      <c r="F98" s="60">
        <v>1</v>
      </c>
      <c r="G98" s="60">
        <v>2</v>
      </c>
    </row>
    <row r="99" spans="4:7" x14ac:dyDescent="0.25">
      <c r="D99" s="57" t="s">
        <v>107</v>
      </c>
      <c r="E99" s="60">
        <v>2</v>
      </c>
      <c r="F99" s="60">
        <v>1</v>
      </c>
      <c r="G99" s="60">
        <v>2</v>
      </c>
    </row>
    <row r="100" spans="4:7" x14ac:dyDescent="0.25">
      <c r="D100" s="57" t="s">
        <v>67</v>
      </c>
      <c r="E100" s="59">
        <v>3</v>
      </c>
      <c r="F100" s="59">
        <v>2</v>
      </c>
      <c r="G100" s="59">
        <v>4</v>
      </c>
    </row>
    <row r="101" spans="4:7" x14ac:dyDescent="0.25">
      <c r="D101" s="57" t="s">
        <v>69</v>
      </c>
      <c r="E101" s="59">
        <v>3</v>
      </c>
      <c r="F101" s="59">
        <v>2</v>
      </c>
      <c r="G101" s="59">
        <v>4</v>
      </c>
    </row>
    <row r="102" spans="4:7" x14ac:dyDescent="0.25">
      <c r="D102" s="57" t="s">
        <v>70</v>
      </c>
      <c r="E102" s="59">
        <v>3</v>
      </c>
      <c r="F102" s="59">
        <v>2</v>
      </c>
      <c r="G102" s="59">
        <v>4</v>
      </c>
    </row>
    <row r="103" spans="4:7" x14ac:dyDescent="0.25">
      <c r="D103" s="57" t="s">
        <v>43</v>
      </c>
      <c r="E103" s="59">
        <v>3</v>
      </c>
      <c r="F103" s="59">
        <v>2</v>
      </c>
      <c r="G103" s="59">
        <v>4</v>
      </c>
    </row>
    <row r="104" spans="4:7" x14ac:dyDescent="0.25">
      <c r="D104" s="57" t="s">
        <v>151</v>
      </c>
      <c r="E104" s="59">
        <v>4</v>
      </c>
      <c r="F104" s="59">
        <v>3</v>
      </c>
      <c r="G104" s="59">
        <v>5</v>
      </c>
    </row>
    <row r="105" spans="4:7" x14ac:dyDescent="0.25">
      <c r="D105" s="57" t="s">
        <v>152</v>
      </c>
      <c r="E105" s="59">
        <v>4</v>
      </c>
      <c r="F105" s="59">
        <v>3</v>
      </c>
      <c r="G105" s="59">
        <v>5</v>
      </c>
    </row>
    <row r="106" spans="4:7" x14ac:dyDescent="0.25">
      <c r="D106" s="58" t="s">
        <v>153</v>
      </c>
      <c r="E106" s="59">
        <v>4</v>
      </c>
      <c r="F106" s="59">
        <v>3</v>
      </c>
      <c r="G106" s="59">
        <v>5</v>
      </c>
    </row>
    <row r="107" spans="4:7" x14ac:dyDescent="0.25">
      <c r="D107" s="58" t="s">
        <v>154</v>
      </c>
      <c r="E107" s="59">
        <v>4</v>
      </c>
      <c r="F107" s="59">
        <v>3</v>
      </c>
      <c r="G107" s="59">
        <v>5</v>
      </c>
    </row>
    <row r="108" spans="4:7" x14ac:dyDescent="0.25">
      <c r="D108" s="58" t="s">
        <v>155</v>
      </c>
      <c r="E108" s="59">
        <v>4</v>
      </c>
      <c r="F108" s="59">
        <v>3</v>
      </c>
      <c r="G108" s="59">
        <v>5</v>
      </c>
    </row>
    <row r="109" spans="4:7" x14ac:dyDescent="0.25">
      <c r="D109" s="57" t="s">
        <v>156</v>
      </c>
      <c r="E109" s="59">
        <v>4</v>
      </c>
      <c r="F109" s="59">
        <v>3</v>
      </c>
      <c r="G109" s="59">
        <v>5</v>
      </c>
    </row>
    <row r="110" spans="4:7" x14ac:dyDescent="0.25">
      <c r="D110" s="58" t="s">
        <v>157</v>
      </c>
      <c r="E110" s="59">
        <v>4</v>
      </c>
      <c r="F110" s="59">
        <v>3</v>
      </c>
      <c r="G110" s="59">
        <v>5</v>
      </c>
    </row>
    <row r="111" spans="4:7" x14ac:dyDescent="0.25">
      <c r="D111" s="57" t="s">
        <v>158</v>
      </c>
      <c r="E111" s="59">
        <v>4</v>
      </c>
      <c r="F111" s="59">
        <v>3</v>
      </c>
      <c r="G111" s="59">
        <v>5</v>
      </c>
    </row>
    <row r="112" spans="4:7" x14ac:dyDescent="0.25">
      <c r="D112" s="58" t="s">
        <v>81</v>
      </c>
      <c r="E112" s="59">
        <v>4</v>
      </c>
      <c r="F112" s="59">
        <v>3</v>
      </c>
      <c r="G112" s="59">
        <v>5</v>
      </c>
    </row>
    <row r="113" spans="4:7" x14ac:dyDescent="0.25">
      <c r="D113" s="57" t="s">
        <v>90</v>
      </c>
      <c r="E113" s="59">
        <v>4</v>
      </c>
      <c r="F113" s="59">
        <v>3</v>
      </c>
      <c r="G113" s="59">
        <v>5</v>
      </c>
    </row>
    <row r="114" spans="4:7" x14ac:dyDescent="0.25">
      <c r="D114" s="58" t="s">
        <v>82</v>
      </c>
      <c r="E114" s="59">
        <v>4</v>
      </c>
      <c r="F114" s="59">
        <v>3</v>
      </c>
      <c r="G114" s="59">
        <v>5</v>
      </c>
    </row>
    <row r="115" spans="4:7" x14ac:dyDescent="0.25">
      <c r="D115" s="57" t="s">
        <v>91</v>
      </c>
      <c r="E115" s="59">
        <v>4</v>
      </c>
      <c r="F115" s="59">
        <v>3</v>
      </c>
      <c r="G115" s="59">
        <v>5</v>
      </c>
    </row>
    <row r="116" spans="4:7" x14ac:dyDescent="0.25">
      <c r="D116" s="58" t="s">
        <v>176</v>
      </c>
      <c r="E116" s="59">
        <v>4</v>
      </c>
      <c r="F116" s="59">
        <v>3</v>
      </c>
      <c r="G116" s="59">
        <v>5</v>
      </c>
    </row>
    <row r="117" spans="4:7" x14ac:dyDescent="0.25">
      <c r="D117" s="57" t="s">
        <v>177</v>
      </c>
      <c r="E117" s="59">
        <v>4</v>
      </c>
      <c r="F117" s="59">
        <v>3</v>
      </c>
      <c r="G117" s="59">
        <v>5</v>
      </c>
    </row>
    <row r="118" spans="4:7" x14ac:dyDescent="0.25">
      <c r="D118" s="58" t="s">
        <v>178</v>
      </c>
      <c r="E118" s="59">
        <v>4</v>
      </c>
      <c r="F118" s="59">
        <v>3</v>
      </c>
      <c r="G118" s="59">
        <v>5</v>
      </c>
    </row>
    <row r="119" spans="4:7" x14ac:dyDescent="0.25">
      <c r="D119" s="57" t="s">
        <v>179</v>
      </c>
      <c r="E119" s="59">
        <v>4</v>
      </c>
      <c r="F119" s="59">
        <v>3</v>
      </c>
      <c r="G119" s="59">
        <v>5</v>
      </c>
    </row>
    <row r="120" spans="4:7" x14ac:dyDescent="0.25">
      <c r="D120" s="58" t="s">
        <v>180</v>
      </c>
      <c r="E120" s="59">
        <v>4</v>
      </c>
      <c r="F120" s="59">
        <v>3</v>
      </c>
      <c r="G120" s="59">
        <v>5</v>
      </c>
    </row>
    <row r="121" spans="4:7" x14ac:dyDescent="0.25">
      <c r="D121" s="57" t="s">
        <v>181</v>
      </c>
      <c r="E121" s="59">
        <v>4</v>
      </c>
      <c r="F121" s="59">
        <v>3</v>
      </c>
      <c r="G121" s="59">
        <v>5</v>
      </c>
    </row>
    <row r="122" spans="4:7" x14ac:dyDescent="0.25">
      <c r="D122" s="58" t="s">
        <v>182</v>
      </c>
      <c r="E122" s="59">
        <v>4</v>
      </c>
      <c r="F122" s="59">
        <v>3</v>
      </c>
      <c r="G122" s="59">
        <v>5</v>
      </c>
    </row>
    <row r="123" spans="4:7" x14ac:dyDescent="0.25">
      <c r="D123" s="57" t="s">
        <v>92</v>
      </c>
      <c r="E123" s="59">
        <v>4</v>
      </c>
      <c r="F123" s="59">
        <v>3</v>
      </c>
      <c r="G123" s="59">
        <v>5</v>
      </c>
    </row>
    <row r="124" spans="4:7" x14ac:dyDescent="0.25">
      <c r="D124" s="57" t="s">
        <v>47</v>
      </c>
      <c r="E124" s="59">
        <v>4</v>
      </c>
      <c r="F124" s="59">
        <v>3</v>
      </c>
      <c r="G124" s="59">
        <v>5</v>
      </c>
    </row>
    <row r="125" spans="4:7" x14ac:dyDescent="0.25">
      <c r="D125" s="58" t="s">
        <v>85</v>
      </c>
      <c r="E125" s="59">
        <v>3</v>
      </c>
      <c r="F125" s="59">
        <v>2</v>
      </c>
      <c r="G125" s="59">
        <v>4</v>
      </c>
    </row>
    <row r="126" spans="4:7" x14ac:dyDescent="0.25">
      <c r="D126" s="57" t="s">
        <v>95</v>
      </c>
      <c r="E126" s="59">
        <v>3</v>
      </c>
      <c r="F126" s="59">
        <v>2</v>
      </c>
      <c r="G126" s="59">
        <v>4</v>
      </c>
    </row>
    <row r="127" spans="4:7" x14ac:dyDescent="0.25">
      <c r="D127" s="58" t="s">
        <v>86</v>
      </c>
      <c r="E127" s="59">
        <v>3</v>
      </c>
      <c r="F127" s="59">
        <v>2</v>
      </c>
      <c r="G127" s="59">
        <v>4</v>
      </c>
    </row>
    <row r="128" spans="4:7" x14ac:dyDescent="0.25">
      <c r="D128" s="57" t="s">
        <v>96</v>
      </c>
      <c r="E128" s="59">
        <v>3</v>
      </c>
      <c r="F128" s="59">
        <v>2</v>
      </c>
      <c r="G128" s="59">
        <v>4</v>
      </c>
    </row>
    <row r="129" spans="4:7" x14ac:dyDescent="0.25">
      <c r="D129" s="58" t="s">
        <v>88</v>
      </c>
      <c r="E129" s="59">
        <v>3</v>
      </c>
      <c r="F129" s="59">
        <v>2</v>
      </c>
      <c r="G129" s="59">
        <v>4</v>
      </c>
    </row>
    <row r="130" spans="4:7" x14ac:dyDescent="0.25">
      <c r="D130" s="57" t="s">
        <v>97</v>
      </c>
      <c r="E130" s="59">
        <v>3</v>
      </c>
      <c r="F130" s="59">
        <v>2</v>
      </c>
      <c r="G130" s="59">
        <v>4</v>
      </c>
    </row>
    <row r="131" spans="4:7" x14ac:dyDescent="0.25">
      <c r="D131" s="57" t="s">
        <v>56</v>
      </c>
      <c r="E131" s="59">
        <v>4</v>
      </c>
      <c r="F131" s="59">
        <v>3</v>
      </c>
      <c r="G131" s="59">
        <v>5</v>
      </c>
    </row>
    <row r="132" spans="4:7" x14ac:dyDescent="0.25">
      <c r="D132" s="57" t="s">
        <v>57</v>
      </c>
      <c r="E132" s="59">
        <v>4</v>
      </c>
      <c r="F132" s="59">
        <v>3</v>
      </c>
      <c r="G132" s="59">
        <v>5</v>
      </c>
    </row>
    <row r="133" spans="4:7" x14ac:dyDescent="0.25">
      <c r="D133" s="57" t="s">
        <v>30</v>
      </c>
      <c r="E133" s="59">
        <v>4</v>
      </c>
      <c r="F133" s="59">
        <v>3</v>
      </c>
      <c r="G133" s="59">
        <v>5</v>
      </c>
    </row>
    <row r="134" spans="4:7" x14ac:dyDescent="0.25">
      <c r="D134" s="57" t="s">
        <v>58</v>
      </c>
      <c r="E134" s="59">
        <v>4</v>
      </c>
      <c r="F134" s="59">
        <v>3</v>
      </c>
      <c r="G134" s="59">
        <v>5</v>
      </c>
    </row>
    <row r="135" spans="4:7" x14ac:dyDescent="0.25">
      <c r="D135" s="57" t="s">
        <v>59</v>
      </c>
      <c r="E135" s="59">
        <v>4</v>
      </c>
      <c r="F135" s="59">
        <v>3</v>
      </c>
      <c r="G135" s="59">
        <v>5</v>
      </c>
    </row>
    <row r="136" spans="4:7" x14ac:dyDescent="0.25">
      <c r="D136" s="57" t="s">
        <v>34</v>
      </c>
      <c r="E136" s="59">
        <v>4</v>
      </c>
      <c r="F136" s="59">
        <v>3</v>
      </c>
      <c r="G136" s="59">
        <v>5</v>
      </c>
    </row>
    <row r="137" spans="4:7" x14ac:dyDescent="0.25">
      <c r="D137" s="57" t="s">
        <v>60</v>
      </c>
      <c r="E137" s="59">
        <v>4</v>
      </c>
      <c r="F137" s="59">
        <v>3</v>
      </c>
      <c r="G137" s="59">
        <v>5</v>
      </c>
    </row>
    <row r="138" spans="4:7" x14ac:dyDescent="0.25">
      <c r="D138" s="57" t="s">
        <v>61</v>
      </c>
      <c r="E138" s="59">
        <v>4</v>
      </c>
      <c r="F138" s="59">
        <v>3</v>
      </c>
      <c r="G138" s="59">
        <v>5</v>
      </c>
    </row>
    <row r="139" spans="4:7" x14ac:dyDescent="0.25">
      <c r="D139" s="57" t="s">
        <v>39</v>
      </c>
      <c r="E139" s="59">
        <v>4</v>
      </c>
      <c r="F139" s="59">
        <v>3</v>
      </c>
      <c r="G139" s="59">
        <v>5</v>
      </c>
    </row>
    <row r="140" spans="4:7" x14ac:dyDescent="0.25">
      <c r="D140" s="57" t="s">
        <v>63</v>
      </c>
      <c r="E140" s="59">
        <v>4</v>
      </c>
      <c r="F140" s="59">
        <v>3</v>
      </c>
      <c r="G140" s="59">
        <v>5</v>
      </c>
    </row>
    <row r="141" spans="4:7" x14ac:dyDescent="0.25">
      <c r="D141" s="57" t="s">
        <v>159</v>
      </c>
      <c r="E141" s="59">
        <v>4</v>
      </c>
      <c r="F141" s="59">
        <v>3</v>
      </c>
      <c r="G141" s="59">
        <v>5</v>
      </c>
    </row>
    <row r="142" spans="4:7" x14ac:dyDescent="0.25">
      <c r="D142" s="57" t="s">
        <v>160</v>
      </c>
      <c r="E142" s="59">
        <v>4</v>
      </c>
      <c r="F142" s="59">
        <v>3</v>
      </c>
      <c r="G142" s="59">
        <v>5</v>
      </c>
    </row>
    <row r="143" spans="4:7" x14ac:dyDescent="0.25">
      <c r="D143" s="57" t="s">
        <v>161</v>
      </c>
      <c r="E143" s="59">
        <v>4</v>
      </c>
      <c r="F143" s="59">
        <v>3</v>
      </c>
      <c r="G143" s="59">
        <v>5</v>
      </c>
    </row>
    <row r="144" spans="4:7" x14ac:dyDescent="0.25">
      <c r="D144" s="57" t="s">
        <v>162</v>
      </c>
      <c r="E144" s="59">
        <v>4</v>
      </c>
      <c r="F144" s="59">
        <v>3</v>
      </c>
      <c r="G144" s="59">
        <v>5</v>
      </c>
    </row>
    <row r="145" spans="4:7" x14ac:dyDescent="0.25">
      <c r="D145" s="57" t="s">
        <v>163</v>
      </c>
      <c r="E145" s="59">
        <v>4</v>
      </c>
      <c r="F145" s="59">
        <v>3</v>
      </c>
      <c r="G145" s="59">
        <v>5</v>
      </c>
    </row>
    <row r="146" spans="4:7" x14ac:dyDescent="0.25">
      <c r="D146" s="57" t="s">
        <v>164</v>
      </c>
      <c r="E146" s="59">
        <v>4</v>
      </c>
      <c r="F146" s="59">
        <v>3</v>
      </c>
      <c r="G146" s="59">
        <v>5</v>
      </c>
    </row>
    <row r="147" spans="4:7" x14ac:dyDescent="0.25">
      <c r="D147" s="57" t="s">
        <v>165</v>
      </c>
      <c r="E147" s="59">
        <v>4</v>
      </c>
      <c r="F147" s="59">
        <v>3</v>
      </c>
      <c r="G147" s="59">
        <v>5</v>
      </c>
    </row>
    <row r="148" spans="4:7" x14ac:dyDescent="0.25">
      <c r="D148" s="57" t="s">
        <v>166</v>
      </c>
      <c r="E148" s="59">
        <v>4</v>
      </c>
      <c r="F148" s="59">
        <v>3</v>
      </c>
      <c r="G148" s="59">
        <v>5</v>
      </c>
    </row>
    <row r="149" spans="4:7" x14ac:dyDescent="0.25">
      <c r="D149" s="57" t="s">
        <v>167</v>
      </c>
      <c r="E149" s="59">
        <v>3</v>
      </c>
      <c r="F149" s="59">
        <v>2</v>
      </c>
      <c r="G149" s="59">
        <v>4</v>
      </c>
    </row>
    <row r="150" spans="4:7" x14ac:dyDescent="0.25">
      <c r="D150" s="57" t="s">
        <v>168</v>
      </c>
      <c r="E150" s="59">
        <v>3</v>
      </c>
      <c r="F150" s="59">
        <v>2</v>
      </c>
      <c r="G150" s="59">
        <v>4</v>
      </c>
    </row>
    <row r="151" spans="4:7" x14ac:dyDescent="0.25">
      <c r="D151" s="57" t="s">
        <v>68</v>
      </c>
      <c r="E151" s="59">
        <v>3</v>
      </c>
      <c r="F151" s="59">
        <v>2</v>
      </c>
      <c r="G151" s="59">
        <v>4</v>
      </c>
    </row>
    <row r="152" spans="4:7" x14ac:dyDescent="0.25">
      <c r="D152" s="57" t="s">
        <v>44</v>
      </c>
      <c r="E152" s="59">
        <v>3</v>
      </c>
      <c r="F152" s="59">
        <v>2</v>
      </c>
      <c r="G152" s="59">
        <v>4</v>
      </c>
    </row>
    <row r="153" spans="4:7" x14ac:dyDescent="0.25">
      <c r="D153" s="57" t="s">
        <v>71</v>
      </c>
      <c r="E153" s="59">
        <v>4</v>
      </c>
      <c r="F153" s="59">
        <v>3</v>
      </c>
      <c r="G153" s="59">
        <v>5</v>
      </c>
    </row>
    <row r="154" spans="4:7" x14ac:dyDescent="0.25">
      <c r="D154" s="57" t="s">
        <v>72</v>
      </c>
      <c r="E154" s="59">
        <v>4</v>
      </c>
      <c r="F154" s="59">
        <v>3</v>
      </c>
      <c r="G154" s="59">
        <v>5</v>
      </c>
    </row>
    <row r="155" spans="4:7" x14ac:dyDescent="0.25">
      <c r="D155" s="57" t="s">
        <v>108</v>
      </c>
      <c r="E155" s="60">
        <v>2</v>
      </c>
      <c r="F155" s="60">
        <v>1</v>
      </c>
      <c r="G155" s="60">
        <v>2</v>
      </c>
    </row>
    <row r="156" spans="4:7" x14ac:dyDescent="0.25">
      <c r="D156" s="57" t="s">
        <v>169</v>
      </c>
      <c r="E156" s="59">
        <v>4</v>
      </c>
      <c r="F156" s="59">
        <v>3</v>
      </c>
      <c r="G156" s="59">
        <v>5</v>
      </c>
    </row>
    <row r="157" spans="4:7" x14ac:dyDescent="0.25">
      <c r="D157" s="57" t="s">
        <v>170</v>
      </c>
      <c r="E157" s="59">
        <v>4</v>
      </c>
      <c r="F157" s="59">
        <v>3</v>
      </c>
      <c r="G157" s="59">
        <v>5</v>
      </c>
    </row>
    <row r="158" spans="4:7" x14ac:dyDescent="0.25">
      <c r="D158" s="57" t="s">
        <v>171</v>
      </c>
      <c r="E158" s="59">
        <v>4</v>
      </c>
      <c r="F158" s="59">
        <v>3</v>
      </c>
      <c r="G158" s="59">
        <v>5</v>
      </c>
    </row>
    <row r="159" spans="4:7" x14ac:dyDescent="0.25">
      <c r="D159" s="57" t="s">
        <v>172</v>
      </c>
      <c r="E159" s="59">
        <v>4</v>
      </c>
      <c r="F159" s="59">
        <v>3</v>
      </c>
      <c r="G159" s="59">
        <v>5</v>
      </c>
    </row>
    <row r="160" spans="4:7" x14ac:dyDescent="0.25">
      <c r="D160" s="57" t="s">
        <v>173</v>
      </c>
      <c r="E160" s="59">
        <v>4</v>
      </c>
      <c r="F160" s="59">
        <v>3</v>
      </c>
      <c r="G160" s="59">
        <v>5</v>
      </c>
    </row>
    <row r="161" spans="4:7" x14ac:dyDescent="0.25">
      <c r="D161" s="57" t="s">
        <v>174</v>
      </c>
      <c r="E161" s="59">
        <v>4</v>
      </c>
      <c r="F161" s="59">
        <v>3</v>
      </c>
      <c r="G161" s="59">
        <v>5</v>
      </c>
    </row>
    <row r="162" spans="4:7" x14ac:dyDescent="0.25">
      <c r="D162" s="57" t="s">
        <v>83</v>
      </c>
      <c r="E162" s="59">
        <v>4</v>
      </c>
      <c r="F162" s="59">
        <v>3</v>
      </c>
      <c r="G162" s="59">
        <v>5</v>
      </c>
    </row>
    <row r="163" spans="4:7" x14ac:dyDescent="0.25">
      <c r="D163" s="57" t="s">
        <v>93</v>
      </c>
      <c r="E163" s="59">
        <v>4</v>
      </c>
      <c r="F163" s="59">
        <v>3</v>
      </c>
      <c r="G163" s="59">
        <v>5</v>
      </c>
    </row>
    <row r="164" spans="4:7" x14ac:dyDescent="0.25">
      <c r="D164" s="57" t="s">
        <v>84</v>
      </c>
      <c r="E164" s="59">
        <v>4</v>
      </c>
      <c r="F164" s="59">
        <v>3</v>
      </c>
      <c r="G164" s="59">
        <v>5</v>
      </c>
    </row>
    <row r="165" spans="4:7" x14ac:dyDescent="0.25">
      <c r="D165" s="57" t="s">
        <v>94</v>
      </c>
      <c r="E165" s="59">
        <v>4</v>
      </c>
      <c r="F165" s="59">
        <v>3</v>
      </c>
      <c r="G165" s="59">
        <v>5</v>
      </c>
    </row>
    <row r="166" spans="4:7" x14ac:dyDescent="0.25">
      <c r="D166" s="57" t="s">
        <v>48</v>
      </c>
      <c r="E166" s="59">
        <v>4</v>
      </c>
      <c r="F166" s="59">
        <v>3</v>
      </c>
      <c r="G166" s="59">
        <v>5</v>
      </c>
    </row>
    <row r="167" spans="4:7" x14ac:dyDescent="0.25">
      <c r="D167" s="57" t="s">
        <v>87</v>
      </c>
      <c r="E167" s="59">
        <v>3</v>
      </c>
      <c r="F167" s="59">
        <v>2</v>
      </c>
      <c r="G167" s="59">
        <v>4</v>
      </c>
    </row>
    <row r="168" spans="4:7" x14ac:dyDescent="0.25">
      <c r="D168" s="57" t="s">
        <v>175</v>
      </c>
      <c r="E168" s="59">
        <v>3</v>
      </c>
      <c r="F168" s="59">
        <v>2</v>
      </c>
      <c r="G168" s="59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45</vt:i4>
      </vt:variant>
    </vt:vector>
  </HeadingPairs>
  <TitlesOfParts>
    <vt:vector size="48" baseType="lpstr">
      <vt:lpstr>2026입학생 (과학중점과정)</vt:lpstr>
      <vt:lpstr>배당표 작성 요령</vt:lpstr>
      <vt:lpstr>데이터베이스</vt:lpstr>
      <vt:lpstr>'2026입학생 (과학중점과정)'!Print_Area</vt:lpstr>
      <vt:lpstr>'2026입학생 (과학중점과정)'!Print_Titles</vt:lpstr>
      <vt:lpstr>과목개설유형</vt:lpstr>
      <vt:lpstr>과목유형</vt:lpstr>
      <vt:lpstr>과목유형2</vt:lpstr>
      <vt:lpstr>과학공통</vt:lpstr>
      <vt:lpstr>과학융합</vt:lpstr>
      <vt:lpstr>과학일반</vt:lpstr>
      <vt:lpstr>과학진로</vt:lpstr>
      <vt:lpstr>교과군</vt:lpstr>
      <vt:lpstr>교양융합</vt:lpstr>
      <vt:lpstr>교양일반</vt:lpstr>
      <vt:lpstr>교양진로</vt:lpstr>
      <vt:lpstr>국어공통</vt:lpstr>
      <vt:lpstr>국어융합</vt:lpstr>
      <vt:lpstr>국어일반</vt:lpstr>
      <vt:lpstr>국어진로</vt:lpstr>
      <vt:lpstr>기가정융합</vt:lpstr>
      <vt:lpstr>기가정일반</vt:lpstr>
      <vt:lpstr>기가정진로</vt:lpstr>
      <vt:lpstr>기본학점</vt:lpstr>
      <vt:lpstr>비고</vt:lpstr>
      <vt:lpstr>사회공통</vt:lpstr>
      <vt:lpstr>사회융합</vt:lpstr>
      <vt:lpstr>사회일반</vt:lpstr>
      <vt:lpstr>사회진로</vt:lpstr>
      <vt:lpstr>수학공통</vt:lpstr>
      <vt:lpstr>수학융합</vt:lpstr>
      <vt:lpstr>수학일반</vt:lpstr>
      <vt:lpstr>수학진로</vt:lpstr>
      <vt:lpstr>영어공통</vt:lpstr>
      <vt:lpstr>영어융합</vt:lpstr>
      <vt:lpstr>영어일반</vt:lpstr>
      <vt:lpstr>영어진로</vt:lpstr>
      <vt:lpstr>예술융합</vt:lpstr>
      <vt:lpstr>예술일반</vt:lpstr>
      <vt:lpstr>예술진로</vt:lpstr>
      <vt:lpstr>외한융합</vt:lpstr>
      <vt:lpstr>외한일반</vt:lpstr>
      <vt:lpstr>외한진로</vt:lpstr>
      <vt:lpstr>운영학점</vt:lpstr>
      <vt:lpstr>입력용교과군</vt:lpstr>
      <vt:lpstr>체육융합</vt:lpstr>
      <vt:lpstr>체육일반</vt:lpstr>
      <vt:lpstr>체육진로</vt:lpstr>
    </vt:vector>
  </TitlesOfParts>
  <Company>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김연희</cp:lastModifiedBy>
  <cp:lastPrinted>2025-10-16T00:54:20Z</cp:lastPrinted>
  <dcterms:created xsi:type="dcterms:W3CDTF">2002-10-10T04:04:10Z</dcterms:created>
  <dcterms:modified xsi:type="dcterms:W3CDTF">2026-08-16T22:10:26Z</dcterms:modified>
</cp:coreProperties>
</file>